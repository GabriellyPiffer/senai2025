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D45A27E2A4A99D20/Documentos/"/>
    </mc:Choice>
  </mc:AlternateContent>
  <xr:revisionPtr revIDLastSave="43" documentId="8_{A32EBBA0-60D7-4C73-A152-170D23BCAA73}" xr6:coauthVersionLast="47" xr6:coauthVersionMax="47" xr10:uidLastSave="{AE8F8F06-484C-4925-B057-8224F56CA36B}"/>
  <bookViews>
    <workbookView xWindow="-108" yWindow="-108" windowWidth="23256" windowHeight="12456" xr2:uid="{32B658DB-DC08-4332-8C52-10D9C2497A0F}"/>
  </bookViews>
  <sheets>
    <sheet name="Médias Metemática" sheetId="1" r:id="rId1"/>
    <sheet name="Resumo Final" sheetId="2" r:id="rId2"/>
    <sheet name="Configurações" sheetId="3" r:id="rId3"/>
  </sheets>
  <definedNames>
    <definedName name="_xleta.AND" hidden="1" xlm="1">#NAME?</definedName>
    <definedName name="_xleta.AVERAGE" hidden="1" xlm="1">#NAME?</definedName>
    <definedName name="_xleta.IF" hidden="1" xlm="1">#NAME?</definedName>
    <definedName name="_xleta.MAX" hidden="1" xlm="1">#NAME?</definedName>
    <definedName name="_xleta.MEDIAN" hidden="1" xlm="1">#NAME?</definedName>
    <definedName name="Alunos">'Médias Metemática'!$A$5:$A$17</definedName>
    <definedName name="aulas_ano">Configurações!$B$6</definedName>
    <definedName name="cond_faltas">'Médias Metemática'!$L$5:$L$17</definedName>
    <definedName name="cond_provas">'Médias Metemática'!$J$5:$J$17</definedName>
    <definedName name="cond_trabalho">'Médias Metemática'!$K$5:$K$17</definedName>
    <definedName name="exame">Configurações!$B$4</definedName>
    <definedName name="faltas">Configurações!$B$5</definedName>
    <definedName name="med_provas">'Médias Metemática'!$G$5:$G$17</definedName>
    <definedName name="med_trabalhos">'Médias Metemática'!$H$5:$H$17</definedName>
    <definedName name="provas">Configurações!$B$2</definedName>
    <definedName name="resultado">'Médias Metemática'!$M$5:$M$17</definedName>
    <definedName name="trabalhos">Configurações!$B$3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0" i="2" l="1"/>
  <c r="B9" i="2" l="1"/>
  <c r="B4" i="2"/>
  <c r="B3" i="2"/>
  <c r="B8" i="2"/>
  <c r="B7" i="2" l="1"/>
  <c r="B6" i="2"/>
  <c r="B5" i="2"/>
</calcChain>
</file>

<file path=xl/sharedStrings.xml><?xml version="1.0" encoding="utf-8"?>
<sst xmlns="http://schemas.openxmlformats.org/spreadsheetml/2006/main" count="46" uniqueCount="46">
  <si>
    <t>Curso de:MATEMÁTICA</t>
  </si>
  <si>
    <t>Matéria de: ESTATÍSTICAS</t>
  </si>
  <si>
    <t>Alunos</t>
  </si>
  <si>
    <t>Benedito de Souza Ramos</t>
  </si>
  <si>
    <t>Cristina Marcondes Dias</t>
  </si>
  <si>
    <t>Diana Bertoldo</t>
  </si>
  <si>
    <t>José Roberto</t>
  </si>
  <si>
    <t>Joseli Barbados</t>
  </si>
  <si>
    <t>Karen Farferelli</t>
  </si>
  <si>
    <t>Lucas Madeira Duarte</t>
  </si>
  <si>
    <t>Luci Faria de Gomes</t>
  </si>
  <si>
    <t>Lucimar Ferreira</t>
  </si>
  <si>
    <t>Magali Fernandes</t>
  </si>
  <si>
    <t>Mauricio de Arruda</t>
  </si>
  <si>
    <t>Sirlei Nogueira Santos</t>
  </si>
  <si>
    <t>Solange Maria Barbosa</t>
  </si>
  <si>
    <t>Prova 1</t>
  </si>
  <si>
    <t>Prova 2</t>
  </si>
  <si>
    <t>Prova 3</t>
  </si>
  <si>
    <t>Trabalho 2 (Peso 3)</t>
  </si>
  <si>
    <t>Trabalho 1 (Peso 2)</t>
  </si>
  <si>
    <t>Média das Provas</t>
  </si>
  <si>
    <t>Média Ponderada Trabalhos</t>
  </si>
  <si>
    <t>Faltas</t>
  </si>
  <si>
    <t>Condição dos Trabalhos</t>
  </si>
  <si>
    <t>Condição de Faltas</t>
  </si>
  <si>
    <t>Resultado Final</t>
  </si>
  <si>
    <t>Condição das Provas</t>
  </si>
  <si>
    <t>Resumo das Estatísticas dos Alunos</t>
  </si>
  <si>
    <t>Número de Alunos:</t>
  </si>
  <si>
    <t xml:space="preserve">Reprovados por Média dos Trabalhos: </t>
  </si>
  <si>
    <t xml:space="preserve">Reprovados por Faltas:  </t>
  </si>
  <si>
    <t xml:space="preserve">Reprovados por Média das Provas: </t>
  </si>
  <si>
    <t>Quantidade de Reprovados:</t>
  </si>
  <si>
    <t xml:space="preserve">Quantidade de Exame: </t>
  </si>
  <si>
    <t>Quantidade de Aprovados:</t>
  </si>
  <si>
    <t>Maior Média dos Trabalhos:</t>
  </si>
  <si>
    <t xml:space="preserve">Maior Média das Provas: </t>
  </si>
  <si>
    <t>Configurações para os Cálculos da Planilha de Médias Matemática</t>
  </si>
  <si>
    <t xml:space="preserve">Número de Aulas no Ano: </t>
  </si>
  <si>
    <t xml:space="preserve">Faltas no Curso:  </t>
  </si>
  <si>
    <t xml:space="preserve">Média para Exame:  </t>
  </si>
  <si>
    <t xml:space="preserve">Valor da Média Ponderada dos Trabalhos:  </t>
  </si>
  <si>
    <r>
      <rPr>
        <b/>
        <sz val="11"/>
        <color theme="1"/>
        <rFont val="Aptos Narrow"/>
        <family val="2"/>
        <scheme val="minor"/>
      </rPr>
      <t>Valor da Média Aritmética das Provas:</t>
    </r>
    <r>
      <rPr>
        <sz val="11"/>
        <color theme="1"/>
        <rFont val="Aptos Narrow"/>
        <family val="2"/>
        <scheme val="minor"/>
      </rPr>
      <t xml:space="preserve">  </t>
    </r>
  </si>
  <si>
    <t xml:space="preserve">Universidade SESI 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</si>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</sst>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7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D9F1FF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0" fillId="0" borderId="0" xfId="0" applyAlignment="1">
      <alignment horizontal="center"/>
    </xf>
    <xf numFmtId="0" fontId="3" fillId="0" borderId="0" xfId="0" applyFont="1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vertical="center"/>
    </xf>
    <xf numFmtId="0" fontId="2" fillId="2" borderId="2" xfId="0" applyFont="1" applyFill="1" applyBorder="1" applyAlignment="1">
      <alignment horizontal="right"/>
    </xf>
    <xf numFmtId="0" fontId="0" fillId="2" borderId="0" xfId="0" applyFill="1" applyAlignment="1">
      <alignment horizontal="right"/>
    </xf>
    <xf numFmtId="0" fontId="2" fillId="2" borderId="0" xfId="0" applyFont="1" applyFill="1" applyAlignment="1">
      <alignment horizontal="right"/>
    </xf>
    <xf numFmtId="0" fontId="2" fillId="0" borderId="0" xfId="0" applyFont="1" applyAlignment="1">
      <alignment horizontal="right"/>
    </xf>
    <xf numFmtId="0" fontId="0" fillId="2" borderId="2" xfId="0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 wrapText="1"/>
    </xf>
    <xf numFmtId="0" fontId="0" fillId="2" borderId="2" xfId="0" applyFill="1" applyBorder="1" applyAlignment="1">
      <alignment horizontal="left"/>
    </xf>
    <xf numFmtId="0" fontId="5" fillId="0" borderId="0" xfId="0" applyFont="1"/>
    <xf numFmtId="164" fontId="0" fillId="4" borderId="2" xfId="0" applyNumberFormat="1" applyFill="1" applyBorder="1" applyAlignment="1">
      <alignment horizontal="center"/>
    </xf>
    <xf numFmtId="0" fontId="0" fillId="4" borderId="2" xfId="0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 wrapText="1"/>
    </xf>
    <xf numFmtId="0" fontId="0" fillId="4" borderId="2" xfId="0" applyFill="1" applyBorder="1" applyAlignment="1">
      <alignment horizontal="center"/>
    </xf>
    <xf numFmtId="0" fontId="1" fillId="4" borderId="0" xfId="0" applyFont="1" applyFill="1" applyAlignment="1">
      <alignment horizontal="center"/>
    </xf>
    <xf numFmtId="9" fontId="1" fillId="4" borderId="0" xfId="0" applyNumberFormat="1" applyFont="1" applyFill="1" applyAlignment="1">
      <alignment horizontal="center"/>
    </xf>
    <xf numFmtId="0" fontId="2" fillId="4" borderId="2" xfId="0" applyFont="1" applyFill="1" applyBorder="1" applyAlignment="1">
      <alignment horizontal="center"/>
    </xf>
    <xf numFmtId="0" fontId="0" fillId="0" borderId="3" xfId="0" applyBorder="1"/>
    <xf numFmtId="0" fontId="6" fillId="0" borderId="3" xfId="0" applyFont="1" applyBorder="1" applyAlignment="1">
      <alignment horizontal="center" vertical="center" wrapText="1"/>
    </xf>
    <xf numFmtId="0" fontId="3" fillId="3" borderId="8" xfId="0" applyFont="1" applyFill="1" applyBorder="1" applyAlignment="1">
      <alignment horizontal="center"/>
    </xf>
    <xf numFmtId="0" fontId="3" fillId="3" borderId="3" xfId="0" applyFont="1" applyFill="1" applyBorder="1" applyAlignment="1">
      <alignment horizontal="center"/>
    </xf>
    <xf numFmtId="0" fontId="3" fillId="3" borderId="4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2" fillId="3" borderId="0" xfId="0" applyFont="1" applyFill="1" applyAlignment="1">
      <alignment horizontal="center"/>
    </xf>
    <xf numFmtId="0" fontId="2" fillId="3" borderId="5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</cellXfs>
  <cellStyles count="1">
    <cellStyle name="Normal" xfId="0" builtinId="0"/>
  </cellStyles>
  <dxfs count="5">
    <dxf>
      <fill>
        <patternFill>
          <bgColor rgb="FFFFFFCC"/>
        </patternFill>
      </fill>
    </dxf>
    <dxf>
      <fill>
        <patternFill>
          <bgColor rgb="FFFF9999"/>
        </patternFill>
      </fill>
    </dxf>
    <dxf>
      <fill>
        <patternFill>
          <bgColor rgb="FFFF7C80"/>
        </patternFill>
      </fill>
    </dxf>
    <dxf>
      <fill>
        <patternFill>
          <bgColor theme="9" tint="0.79998168889431442"/>
        </patternFill>
      </fill>
    </dxf>
    <dxf>
      <fill>
        <patternFill>
          <bgColor rgb="FFFFA7A7"/>
        </patternFill>
      </fill>
    </dxf>
  </dxfs>
  <tableStyles count="0" defaultTableStyle="TableStyleMedium2" defaultPivotStyle="PivotStyleLight16"/>
  <colors>
    <mruColors>
      <color rgb="FFFFFFCC"/>
      <color rgb="FFFF7C80"/>
      <color rgb="FFFF9999"/>
      <color rgb="FFFFA7A7"/>
      <color rgb="FFFF6565"/>
      <color rgb="FF960404"/>
      <color rgb="FFD9F1FF"/>
      <color rgb="FFCCECFF"/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209177</xdr:colOff>
      <xdr:row>0</xdr:row>
      <xdr:rowOff>89649</xdr:rowOff>
    </xdr:from>
    <xdr:to>
      <xdr:col>16</xdr:col>
      <xdr:colOff>119529</xdr:colOff>
      <xdr:row>3</xdr:row>
      <xdr:rowOff>2</xdr:rowOff>
    </xdr:to>
    <xdr:sp macro="[0]!prova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B795B43-AD59-D9C3-195D-E0EAE7CC62B2}"/>
            </a:ext>
          </a:extLst>
        </xdr:cNvPr>
        <xdr:cNvSpPr/>
      </xdr:nvSpPr>
      <xdr:spPr>
        <a:xfrm>
          <a:off x="11743765" y="89649"/>
          <a:ext cx="1658470" cy="522941"/>
        </a:xfrm>
        <a:prstGeom prst="roundRect">
          <a:avLst>
            <a:gd name="adj" fmla="val 8033"/>
          </a:avLst>
        </a:prstGeom>
        <a:solidFill>
          <a:schemeClr val="tx2">
            <a:lumMod val="25000"/>
            <a:lumOff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Média provas</a:t>
          </a:r>
        </a:p>
      </xdr:txBody>
    </xdr:sp>
    <xdr:clientData/>
  </xdr:twoCellAnchor>
  <xdr:twoCellAnchor>
    <xdr:from>
      <xdr:col>13</xdr:col>
      <xdr:colOff>219637</xdr:colOff>
      <xdr:row>9</xdr:row>
      <xdr:rowOff>174812</xdr:rowOff>
    </xdr:from>
    <xdr:to>
      <xdr:col>16</xdr:col>
      <xdr:colOff>129989</xdr:colOff>
      <xdr:row>12</xdr:row>
      <xdr:rowOff>159871</xdr:rowOff>
    </xdr:to>
    <xdr:sp macro="[0]!Módulo1.cond_trabalh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ADBBE0C-3667-4FCF-AA82-590C423AAA3F}"/>
            </a:ext>
          </a:extLst>
        </xdr:cNvPr>
        <xdr:cNvSpPr/>
      </xdr:nvSpPr>
      <xdr:spPr>
        <a:xfrm>
          <a:off x="11754225" y="2154518"/>
          <a:ext cx="1658470" cy="522941"/>
        </a:xfrm>
        <a:prstGeom prst="roundRect">
          <a:avLst>
            <a:gd name="adj" fmla="val 8033"/>
          </a:avLst>
        </a:prstGeom>
        <a:solidFill>
          <a:schemeClr val="tx2">
            <a:lumMod val="25000"/>
            <a:lumOff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Condição</a:t>
          </a:r>
          <a:r>
            <a:rPr lang="pt-BR" sz="1100" baseline="0"/>
            <a:t> dos Trabalhos</a:t>
          </a:r>
          <a:endParaRPr lang="pt-BR" sz="1100"/>
        </a:p>
      </xdr:txBody>
    </xdr:sp>
    <xdr:clientData/>
  </xdr:twoCellAnchor>
  <xdr:twoCellAnchor>
    <xdr:from>
      <xdr:col>13</xdr:col>
      <xdr:colOff>227106</xdr:colOff>
      <xdr:row>13</xdr:row>
      <xdr:rowOff>129986</xdr:rowOff>
    </xdr:from>
    <xdr:to>
      <xdr:col>16</xdr:col>
      <xdr:colOff>137458</xdr:colOff>
      <xdr:row>16</xdr:row>
      <xdr:rowOff>115044</xdr:rowOff>
    </xdr:to>
    <xdr:sp macro="[0]!cond_falta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85CD709-7168-7E48-81C4-C5159D93A8B8}"/>
            </a:ext>
          </a:extLst>
        </xdr:cNvPr>
        <xdr:cNvSpPr/>
      </xdr:nvSpPr>
      <xdr:spPr>
        <a:xfrm>
          <a:off x="11761694" y="2826868"/>
          <a:ext cx="1658470" cy="522941"/>
        </a:xfrm>
        <a:prstGeom prst="roundRect">
          <a:avLst>
            <a:gd name="adj" fmla="val 8033"/>
          </a:avLst>
        </a:prstGeom>
        <a:solidFill>
          <a:schemeClr val="tx2">
            <a:lumMod val="25000"/>
            <a:lumOff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Condição</a:t>
          </a:r>
          <a:r>
            <a:rPr lang="pt-BR" sz="1100" baseline="0"/>
            <a:t> de Faltas</a:t>
          </a:r>
          <a:endParaRPr lang="pt-BR" sz="1100"/>
        </a:p>
      </xdr:txBody>
    </xdr:sp>
    <xdr:clientData/>
  </xdr:twoCellAnchor>
  <xdr:twoCellAnchor>
    <xdr:from>
      <xdr:col>13</xdr:col>
      <xdr:colOff>212165</xdr:colOff>
      <xdr:row>3</xdr:row>
      <xdr:rowOff>129993</xdr:rowOff>
    </xdr:from>
    <xdr:to>
      <xdr:col>16</xdr:col>
      <xdr:colOff>122517</xdr:colOff>
      <xdr:row>5</xdr:row>
      <xdr:rowOff>2993</xdr:rowOff>
    </xdr:to>
    <xdr:sp macro="[0]!trabalh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A4303E74-8C71-45A3-8D2A-BCA603D61411}"/>
            </a:ext>
          </a:extLst>
        </xdr:cNvPr>
        <xdr:cNvSpPr/>
      </xdr:nvSpPr>
      <xdr:spPr>
        <a:xfrm>
          <a:off x="11746753" y="742581"/>
          <a:ext cx="1658470" cy="522941"/>
        </a:xfrm>
        <a:prstGeom prst="roundRect">
          <a:avLst>
            <a:gd name="adj" fmla="val 8033"/>
          </a:avLst>
        </a:prstGeom>
        <a:solidFill>
          <a:schemeClr val="tx2">
            <a:lumMod val="25000"/>
            <a:lumOff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Média Ponderada</a:t>
          </a:r>
          <a:r>
            <a:rPr lang="pt-BR" sz="1100" baseline="0"/>
            <a:t> Trabalhos</a:t>
          </a:r>
          <a:endParaRPr lang="pt-BR" sz="1100"/>
        </a:p>
      </xdr:txBody>
    </xdr:sp>
    <xdr:clientData/>
  </xdr:twoCellAnchor>
  <xdr:twoCellAnchor>
    <xdr:from>
      <xdr:col>13</xdr:col>
      <xdr:colOff>215154</xdr:colOff>
      <xdr:row>6</xdr:row>
      <xdr:rowOff>13446</xdr:rowOff>
    </xdr:from>
    <xdr:to>
      <xdr:col>16</xdr:col>
      <xdr:colOff>125506</xdr:colOff>
      <xdr:row>8</xdr:row>
      <xdr:rowOff>177799</xdr:rowOff>
    </xdr:to>
    <xdr:sp macro="[0]!cond_prova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C0AD3E53-C624-4B23-8605-B32D2986C47B}"/>
            </a:ext>
          </a:extLst>
        </xdr:cNvPr>
        <xdr:cNvSpPr/>
      </xdr:nvSpPr>
      <xdr:spPr>
        <a:xfrm>
          <a:off x="11749742" y="1455270"/>
          <a:ext cx="1658470" cy="522941"/>
        </a:xfrm>
        <a:prstGeom prst="roundRect">
          <a:avLst>
            <a:gd name="adj" fmla="val 8033"/>
          </a:avLst>
        </a:prstGeom>
        <a:solidFill>
          <a:schemeClr val="tx2">
            <a:lumMod val="25000"/>
            <a:lumOff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Condição</a:t>
          </a:r>
          <a:r>
            <a:rPr lang="pt-BR" sz="1100" baseline="0"/>
            <a:t> das Provas</a:t>
          </a:r>
          <a:endParaRPr lang="pt-BR" sz="1100"/>
        </a:p>
      </xdr:txBody>
    </xdr:sp>
    <xdr:clientData/>
  </xdr:twoCellAnchor>
  <xdr:twoCellAnchor>
    <xdr:from>
      <xdr:col>13</xdr:col>
      <xdr:colOff>222623</xdr:colOff>
      <xdr:row>17</xdr:row>
      <xdr:rowOff>125505</xdr:rowOff>
    </xdr:from>
    <xdr:to>
      <xdr:col>16</xdr:col>
      <xdr:colOff>132975</xdr:colOff>
      <xdr:row>20</xdr:row>
      <xdr:rowOff>110564</xdr:rowOff>
    </xdr:to>
    <xdr:sp macro="[0]!Módulo1.resultado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08F69869-A49A-4845-AAD4-F096B499DC8C}"/>
            </a:ext>
          </a:extLst>
        </xdr:cNvPr>
        <xdr:cNvSpPr/>
      </xdr:nvSpPr>
      <xdr:spPr>
        <a:xfrm>
          <a:off x="11757211" y="3539564"/>
          <a:ext cx="1658470" cy="522941"/>
        </a:xfrm>
        <a:prstGeom prst="roundRect">
          <a:avLst>
            <a:gd name="adj" fmla="val 8033"/>
          </a:avLst>
        </a:prstGeom>
        <a:solidFill>
          <a:schemeClr val="tx2">
            <a:lumMod val="25000"/>
            <a:lumOff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Resultado</a:t>
          </a:r>
          <a:r>
            <a:rPr lang="pt-BR" sz="1100" baseline="0"/>
            <a:t> Final</a:t>
          </a:r>
          <a:endParaRPr lang="pt-B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256F0-0F11-4528-9CDB-1E34CC9BD104}">
  <sheetPr codeName="Planilha1"/>
  <dimension ref="A1:N25"/>
  <sheetViews>
    <sheetView tabSelected="1" zoomScale="102" zoomScaleNormal="90" workbookViewId="0">
      <selection activeCell="H22" sqref="H22"/>
    </sheetView>
  </sheetViews>
  <sheetFormatPr defaultRowHeight="14.4" x14ac:dyDescent="0.3"/>
  <cols>
    <col min="1" max="1" width="22.44140625" style="1" customWidth="1"/>
    <col min="2" max="4" width="8.88671875" style="1"/>
    <col min="5" max="5" width="10.77734375" customWidth="1"/>
    <col min="6" max="6" width="11.109375" customWidth="1"/>
    <col min="7" max="7" width="12.109375" customWidth="1"/>
    <col min="8" max="8" width="17.88671875" customWidth="1"/>
    <col min="9" max="9" width="8.88671875" style="6"/>
    <col min="10" max="10" width="16.5546875" customWidth="1"/>
    <col min="11" max="11" width="16.109375" customWidth="1"/>
    <col min="12" max="12" width="12.88671875" customWidth="1"/>
    <col min="13" max="13" width="12.6640625" customWidth="1"/>
    <col min="16" max="16" width="7.6640625" customWidth="1"/>
  </cols>
  <sheetData>
    <row r="1" spans="1:14" ht="21" customHeight="1" x14ac:dyDescent="0.4">
      <c r="A1" s="25" t="s">
        <v>44</v>
      </c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7"/>
      <c r="N1" s="2"/>
    </row>
    <row r="2" spans="1:14" x14ac:dyDescent="0.3">
      <c r="A2" s="28" t="s">
        <v>0</v>
      </c>
      <c r="B2" s="29"/>
      <c r="C2" s="29"/>
      <c r="D2" s="29"/>
      <c r="E2" s="29"/>
      <c r="F2" s="29"/>
      <c r="G2" s="29"/>
      <c r="H2" s="29"/>
      <c r="I2" s="29"/>
      <c r="J2" s="29"/>
      <c r="K2" s="29"/>
      <c r="L2" s="29"/>
      <c r="M2" s="30"/>
      <c r="N2" s="3"/>
    </row>
    <row r="3" spans="1:14" ht="13.2" customHeight="1" x14ac:dyDescent="0.3">
      <c r="A3" s="31" t="s">
        <v>1</v>
      </c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3"/>
      <c r="N3" s="3"/>
    </row>
    <row r="4" spans="1:14" s="6" customFormat="1" ht="37.200000000000003" customHeight="1" x14ac:dyDescent="0.3">
      <c r="A4" s="11" t="s">
        <v>2</v>
      </c>
      <c r="B4" s="12" t="s">
        <v>16</v>
      </c>
      <c r="C4" s="12" t="s">
        <v>17</v>
      </c>
      <c r="D4" s="12" t="s">
        <v>18</v>
      </c>
      <c r="E4" s="13" t="s">
        <v>20</v>
      </c>
      <c r="F4" s="13" t="s">
        <v>19</v>
      </c>
      <c r="G4" s="13" t="s">
        <v>21</v>
      </c>
      <c r="H4" s="13" t="s">
        <v>22</v>
      </c>
      <c r="I4" s="12" t="s">
        <v>23</v>
      </c>
      <c r="J4" s="13" t="s">
        <v>27</v>
      </c>
      <c r="K4" s="13" t="s">
        <v>24</v>
      </c>
      <c r="L4" s="13" t="s">
        <v>25</v>
      </c>
      <c r="M4" s="13" t="s">
        <v>26</v>
      </c>
      <c r="N4" s="5"/>
    </row>
    <row r="5" spans="1:14" s="4" customFormat="1" x14ac:dyDescent="0.3">
      <c r="A5" s="14" t="s">
        <v>3</v>
      </c>
      <c r="B5" s="16">
        <v>5.5</v>
      </c>
      <c r="C5" s="16">
        <v>6.7</v>
      </c>
      <c r="D5" s="16">
        <v>6</v>
      </c>
      <c r="E5" s="16">
        <v>7</v>
      </c>
      <c r="F5" s="16">
        <v>8</v>
      </c>
      <c r="G5" s="16"/>
      <c r="H5" s="16"/>
      <c r="I5" s="17">
        <v>2</v>
      </c>
      <c r="J5" s="22"/>
      <c r="K5" s="22"/>
      <c r="L5" s="18"/>
      <c r="M5" s="22"/>
    </row>
    <row r="6" spans="1:14" x14ac:dyDescent="0.3">
      <c r="A6" s="14" t="s">
        <v>4</v>
      </c>
      <c r="B6" s="16">
        <v>9.8000000000000007</v>
      </c>
      <c r="C6" s="16">
        <v>8</v>
      </c>
      <c r="D6" s="16">
        <v>9</v>
      </c>
      <c r="E6" s="16">
        <v>8.5</v>
      </c>
      <c r="F6" s="16">
        <v>7.5</v>
      </c>
      <c r="G6" s="16"/>
      <c r="H6" s="16"/>
      <c r="I6" s="17">
        <v>1</v>
      </c>
      <c r="J6" s="22"/>
      <c r="K6" s="22"/>
      <c r="L6" s="18"/>
      <c r="M6" s="22"/>
    </row>
    <row r="7" spans="1:14" x14ac:dyDescent="0.3">
      <c r="A7" s="14" t="s">
        <v>5</v>
      </c>
      <c r="B7" s="16">
        <v>0</v>
      </c>
      <c r="C7" s="16">
        <v>6</v>
      </c>
      <c r="D7" s="16">
        <v>0</v>
      </c>
      <c r="E7" s="16">
        <v>7</v>
      </c>
      <c r="F7" s="16">
        <v>0</v>
      </c>
      <c r="G7" s="16"/>
      <c r="H7" s="16"/>
      <c r="I7" s="17">
        <v>10</v>
      </c>
      <c r="J7" s="22"/>
      <c r="K7" s="22"/>
      <c r="L7" s="18"/>
      <c r="M7" s="22"/>
    </row>
    <row r="8" spans="1:14" x14ac:dyDescent="0.3">
      <c r="A8" s="14" t="s">
        <v>6</v>
      </c>
      <c r="B8" s="16">
        <v>2</v>
      </c>
      <c r="C8" s="16">
        <v>8</v>
      </c>
      <c r="D8" s="16">
        <v>7.5</v>
      </c>
      <c r="E8" s="16">
        <v>9</v>
      </c>
      <c r="F8" s="16">
        <v>10</v>
      </c>
      <c r="G8" s="16"/>
      <c r="H8" s="16"/>
      <c r="I8" s="17">
        <v>5</v>
      </c>
      <c r="J8" s="22"/>
      <c r="K8" s="22"/>
      <c r="L8" s="18"/>
      <c r="M8" s="22"/>
    </row>
    <row r="9" spans="1:14" x14ac:dyDescent="0.3">
      <c r="A9" s="14" t="s">
        <v>7</v>
      </c>
      <c r="B9" s="16">
        <v>4.5</v>
      </c>
      <c r="C9" s="16">
        <v>7</v>
      </c>
      <c r="D9" s="16">
        <v>8</v>
      </c>
      <c r="E9" s="16">
        <v>5</v>
      </c>
      <c r="F9" s="16">
        <v>5</v>
      </c>
      <c r="G9" s="16"/>
      <c r="H9" s="16"/>
      <c r="I9" s="17">
        <v>0</v>
      </c>
      <c r="J9" s="22"/>
      <c r="K9" s="22"/>
      <c r="L9" s="18"/>
      <c r="M9" s="22"/>
    </row>
    <row r="10" spans="1:14" x14ac:dyDescent="0.3">
      <c r="A10" s="14" t="s">
        <v>8</v>
      </c>
      <c r="B10" s="16">
        <v>6</v>
      </c>
      <c r="C10" s="16">
        <v>7</v>
      </c>
      <c r="D10" s="16">
        <v>9</v>
      </c>
      <c r="E10" s="16">
        <v>10</v>
      </c>
      <c r="F10" s="16">
        <v>8</v>
      </c>
      <c r="G10" s="16"/>
      <c r="H10" s="16"/>
      <c r="I10" s="17">
        <v>0</v>
      </c>
      <c r="J10" s="22"/>
      <c r="K10" s="22"/>
      <c r="L10" s="18"/>
      <c r="M10" s="22"/>
    </row>
    <row r="11" spans="1:14" x14ac:dyDescent="0.3">
      <c r="A11" s="14" t="s">
        <v>9</v>
      </c>
      <c r="B11" s="16">
        <v>8</v>
      </c>
      <c r="C11" s="16">
        <v>5</v>
      </c>
      <c r="D11" s="16">
        <v>6.7</v>
      </c>
      <c r="E11" s="16">
        <v>8</v>
      </c>
      <c r="F11" s="16">
        <v>7.5</v>
      </c>
      <c r="G11" s="16"/>
      <c r="H11" s="16"/>
      <c r="I11" s="17">
        <v>9</v>
      </c>
      <c r="J11" s="22"/>
      <c r="K11" s="22"/>
      <c r="L11" s="18"/>
      <c r="M11" s="22"/>
    </row>
    <row r="12" spans="1:14" x14ac:dyDescent="0.3">
      <c r="A12" s="14" t="s">
        <v>10</v>
      </c>
      <c r="B12" s="16">
        <v>7.8</v>
      </c>
      <c r="C12" s="16">
        <v>8</v>
      </c>
      <c r="D12" s="16">
        <v>9.5</v>
      </c>
      <c r="E12" s="16">
        <v>9</v>
      </c>
      <c r="F12" s="16">
        <v>9</v>
      </c>
      <c r="G12" s="16"/>
      <c r="H12" s="16"/>
      <c r="I12" s="17">
        <v>0</v>
      </c>
      <c r="J12" s="22"/>
      <c r="K12" s="22"/>
      <c r="L12" s="18"/>
      <c r="M12" s="22"/>
    </row>
    <row r="13" spans="1:14" x14ac:dyDescent="0.3">
      <c r="A13" s="14" t="s">
        <v>11</v>
      </c>
      <c r="B13" s="16">
        <v>5</v>
      </c>
      <c r="C13" s="16">
        <v>4</v>
      </c>
      <c r="D13" s="16">
        <v>3.5</v>
      </c>
      <c r="E13" s="16">
        <v>10</v>
      </c>
      <c r="F13" s="16">
        <v>10</v>
      </c>
      <c r="G13" s="16"/>
      <c r="H13" s="16"/>
      <c r="I13" s="17">
        <v>6</v>
      </c>
      <c r="J13" s="22"/>
      <c r="K13" s="22"/>
      <c r="L13" s="18"/>
      <c r="M13" s="22"/>
    </row>
    <row r="14" spans="1:14" x14ac:dyDescent="0.3">
      <c r="A14" s="14" t="s">
        <v>12</v>
      </c>
      <c r="B14" s="16">
        <v>8</v>
      </c>
      <c r="C14" s="16">
        <v>9</v>
      </c>
      <c r="D14" s="16">
        <v>10</v>
      </c>
      <c r="E14" s="16">
        <v>0</v>
      </c>
      <c r="F14" s="16">
        <v>0</v>
      </c>
      <c r="G14" s="16"/>
      <c r="H14" s="16"/>
      <c r="I14" s="17">
        <v>0</v>
      </c>
      <c r="J14" s="22"/>
      <c r="K14" s="22"/>
      <c r="L14" s="18"/>
      <c r="M14" s="22"/>
    </row>
    <row r="15" spans="1:14" x14ac:dyDescent="0.3">
      <c r="A15" s="14" t="s">
        <v>13</v>
      </c>
      <c r="B15" s="16">
        <v>6.9</v>
      </c>
      <c r="C15" s="16">
        <v>7.9</v>
      </c>
      <c r="D15" s="16">
        <v>8</v>
      </c>
      <c r="E15" s="16">
        <v>5.5</v>
      </c>
      <c r="F15" s="16">
        <v>6</v>
      </c>
      <c r="G15" s="16"/>
      <c r="H15" s="16"/>
      <c r="I15" s="17">
        <v>7</v>
      </c>
      <c r="J15" s="22"/>
      <c r="K15" s="22"/>
      <c r="L15" s="18"/>
      <c r="M15" s="22"/>
    </row>
    <row r="16" spans="1:14" x14ac:dyDescent="0.3">
      <c r="A16" s="14" t="s">
        <v>14</v>
      </c>
      <c r="B16" s="16">
        <v>10</v>
      </c>
      <c r="C16" s="16">
        <v>9</v>
      </c>
      <c r="D16" s="16">
        <v>8</v>
      </c>
      <c r="E16" s="16">
        <v>8</v>
      </c>
      <c r="F16" s="16">
        <v>9</v>
      </c>
      <c r="G16" s="16"/>
      <c r="H16" s="16"/>
      <c r="I16" s="17">
        <v>11</v>
      </c>
      <c r="J16" s="22"/>
      <c r="K16" s="22"/>
      <c r="L16" s="18"/>
      <c r="M16" s="22"/>
    </row>
    <row r="17" spans="1:13" x14ac:dyDescent="0.3">
      <c r="A17" s="14" t="s">
        <v>15</v>
      </c>
      <c r="B17" s="16">
        <v>4.5</v>
      </c>
      <c r="C17" s="16">
        <v>6</v>
      </c>
      <c r="D17" s="16">
        <v>0</v>
      </c>
      <c r="E17" s="16">
        <v>7</v>
      </c>
      <c r="F17" s="16">
        <v>0</v>
      </c>
      <c r="G17" s="16"/>
      <c r="H17" s="16"/>
      <c r="I17" s="17">
        <v>5</v>
      </c>
      <c r="J17" s="22"/>
      <c r="K17" s="22"/>
      <c r="L17" s="18"/>
      <c r="M17" s="22"/>
    </row>
    <row r="18" spans="1:13" x14ac:dyDescent="0.3">
      <c r="L18" s="24"/>
      <c r="M18" s="23"/>
    </row>
    <row r="25" spans="1:13" x14ac:dyDescent="0.3">
      <c r="H25" s="15"/>
    </row>
  </sheetData>
  <mergeCells count="3">
    <mergeCell ref="A1:M1"/>
    <mergeCell ref="A2:M2"/>
    <mergeCell ref="A3:M3"/>
  </mergeCells>
  <phoneticPr fontId="4" type="noConversion"/>
  <conditionalFormatting sqref="L18 J5:M17">
    <cfRule type="cellIs" dxfId="4" priority="5" operator="equal">
      <formula>"Reprovado"</formula>
    </cfRule>
    <cfRule type="cellIs" dxfId="3" priority="6" operator="equal">
      <formula>"Aprovado"</formula>
    </cfRule>
  </conditionalFormatting>
  <conditionalFormatting sqref="J5:K17">
    <cfRule type="cellIs" dxfId="2" priority="4" operator="equal">
      <formula>"Média Insuficiente"</formula>
    </cfRule>
    <cfRule type="cellIs" dxfId="1" priority="3" operator="equal">
      <formula>"Média Insuficiente"</formula>
    </cfRule>
  </conditionalFormatting>
  <conditionalFormatting sqref="M5:M17">
    <cfRule type="cellIs" dxfId="0" priority="1" operator="equal">
      <formula>"Exame"</formula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61DB97-52C4-47E3-AEF6-C674091F8FDC}">
  <sheetPr codeName="Planilha2"/>
  <dimension ref="A1:B11"/>
  <sheetViews>
    <sheetView workbookViewId="0">
      <selection activeCell="B10" sqref="B10"/>
    </sheetView>
  </sheetViews>
  <sheetFormatPr defaultRowHeight="14.4" x14ac:dyDescent="0.3"/>
  <cols>
    <col min="1" max="1" width="57.77734375" customWidth="1"/>
    <col min="2" max="2" width="12.44140625" style="1" customWidth="1"/>
  </cols>
  <sheetData>
    <row r="1" spans="1:2" x14ac:dyDescent="0.3">
      <c r="A1" s="34" t="s">
        <v>28</v>
      </c>
      <c r="B1" s="34"/>
    </row>
    <row r="2" spans="1:2" x14ac:dyDescent="0.3">
      <c r="A2" s="7" t="s">
        <v>29</v>
      </c>
      <c r="B2" s="19">
        <v>13</v>
      </c>
    </row>
    <row r="3" spans="1:2" x14ac:dyDescent="0.3">
      <c r="A3" s="7" t="s">
        <v>37</v>
      </c>
      <c r="B3" s="19">
        <f>MAX(med_provas)</f>
        <v>0</v>
      </c>
    </row>
    <row r="4" spans="1:2" x14ac:dyDescent="0.3">
      <c r="A4" s="7" t="s">
        <v>36</v>
      </c>
      <c r="B4" s="19">
        <f>MAX(med_trabalhos)</f>
        <v>0</v>
      </c>
    </row>
    <row r="5" spans="1:2" x14ac:dyDescent="0.3">
      <c r="A5" s="7" t="s">
        <v>35</v>
      </c>
      <c r="B5" s="19">
        <f>COUNTIF(resultado,"Aprovado")</f>
        <v>0</v>
      </c>
    </row>
    <row r="6" spans="1:2" x14ac:dyDescent="0.3">
      <c r="A6" s="7" t="s">
        <v>34</v>
      </c>
      <c r="B6" s="19">
        <f>COUNTIF(resultado,"Exame")</f>
        <v>0</v>
      </c>
    </row>
    <row r="7" spans="1:2" x14ac:dyDescent="0.3">
      <c r="A7" s="7" t="s">
        <v>33</v>
      </c>
      <c r="B7" s="19">
        <f>COUNTIF(resultado,"Reprovado")</f>
        <v>0</v>
      </c>
    </row>
    <row r="8" spans="1:2" x14ac:dyDescent="0.3">
      <c r="A8" s="7" t="s">
        <v>32</v>
      </c>
      <c r="B8" s="19">
        <f>COUNTIF(cond_provas,"Média Insuficiente")</f>
        <v>0</v>
      </c>
    </row>
    <row r="9" spans="1:2" x14ac:dyDescent="0.3">
      <c r="A9" s="7" t="s">
        <v>30</v>
      </c>
      <c r="B9" s="19">
        <f>COUNTIF(cond_trabalho,"Média Insuficiente")</f>
        <v>0</v>
      </c>
    </row>
    <row r="10" spans="1:2" x14ac:dyDescent="0.3">
      <c r="A10" s="7" t="s">
        <v>31</v>
      </c>
      <c r="B10" s="19">
        <f>COUNTIF(cond_faltas,"Reprovado")</f>
        <v>0</v>
      </c>
    </row>
    <row r="11" spans="1:2" x14ac:dyDescent="0.3">
      <c r="B11" s="1" t="s">
        <v>45</v>
      </c>
    </row>
  </sheetData>
  <mergeCells count="1">
    <mergeCell ref="A1:B1"/>
  </mergeCell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642AE0-BA58-46AD-A4B3-3952052DF4DF}">
  <sheetPr codeName="Planilha3"/>
  <dimension ref="A1:B9"/>
  <sheetViews>
    <sheetView workbookViewId="0">
      <selection activeCell="A10" sqref="A10"/>
    </sheetView>
  </sheetViews>
  <sheetFormatPr defaultRowHeight="14.4" x14ac:dyDescent="0.3"/>
  <cols>
    <col min="1" max="1" width="58.33203125" customWidth="1"/>
    <col min="2" max="2" width="12.109375" customWidth="1"/>
  </cols>
  <sheetData>
    <row r="1" spans="1:2" x14ac:dyDescent="0.3">
      <c r="A1" s="35" t="s">
        <v>38</v>
      </c>
      <c r="B1" s="36"/>
    </row>
    <row r="2" spans="1:2" x14ac:dyDescent="0.3">
      <c r="A2" s="8" t="s">
        <v>43</v>
      </c>
      <c r="B2" s="20">
        <v>7</v>
      </c>
    </row>
    <row r="3" spans="1:2" x14ac:dyDescent="0.3">
      <c r="A3" s="9" t="s">
        <v>42</v>
      </c>
      <c r="B3" s="20">
        <v>6</v>
      </c>
    </row>
    <row r="4" spans="1:2" x14ac:dyDescent="0.3">
      <c r="A4" s="9" t="s">
        <v>41</v>
      </c>
      <c r="B4" s="20">
        <v>5</v>
      </c>
    </row>
    <row r="5" spans="1:2" x14ac:dyDescent="0.3">
      <c r="A5" s="9" t="s">
        <v>40</v>
      </c>
      <c r="B5" s="21">
        <v>0.25</v>
      </c>
    </row>
    <row r="6" spans="1:2" x14ac:dyDescent="0.3">
      <c r="A6" s="9" t="s">
        <v>39</v>
      </c>
      <c r="B6" s="20">
        <v>36</v>
      </c>
    </row>
    <row r="9" spans="1:2" x14ac:dyDescent="0.3">
      <c r="A9" s="10"/>
    </row>
  </sheetData>
  <mergeCells count="1">
    <mergeCell ref="A1:B1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12</vt:i4>
      </vt:variant>
    </vt:vector>
  </HeadingPairs>
  <TitlesOfParts>
    <vt:vector size="15" baseType="lpstr">
      <vt:lpstr>Médias Metemática</vt:lpstr>
      <vt:lpstr>Resumo Final</vt:lpstr>
      <vt:lpstr>Configurações</vt:lpstr>
      <vt:lpstr>Alunos</vt:lpstr>
      <vt:lpstr>aulas_ano</vt:lpstr>
      <vt:lpstr>cond_faltas</vt:lpstr>
      <vt:lpstr>cond_provas</vt:lpstr>
      <vt:lpstr>cond_trabalho</vt:lpstr>
      <vt:lpstr>exame</vt:lpstr>
      <vt:lpstr>faltas</vt:lpstr>
      <vt:lpstr>med_provas</vt:lpstr>
      <vt:lpstr>med_trabalhos</vt:lpstr>
      <vt:lpstr>provas</vt:lpstr>
      <vt:lpstr>resultado</vt:lpstr>
      <vt:lpstr>trabalhos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GABRIELLY TEIXEIRA PIFFER</dc:creator>
  <cp:lastModifiedBy>gtpiffer@gmail.com</cp:lastModifiedBy>
  <dcterms:created xsi:type="dcterms:W3CDTF">2025-05-30T13:01:05Z</dcterms:created>
  <dcterms:modified xsi:type="dcterms:W3CDTF">2025-06-06T10:55:44Z</dcterms:modified>
</cp:coreProperties>
</file>