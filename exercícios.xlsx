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 codeName="ThisWorkbook"/>
  <xr:revisionPtr revIDLastSave="15" documentId="11_F23AC1C0068F234D8AACDB9627771889AD566DC8" xr6:coauthVersionLast="47" xr6:coauthVersionMax="47" xr10:uidLastSave="{3281D2F8-7960-AF4F-8D7C-7FA2C0322B67}"/>
  <bookViews>
    <workbookView xWindow="0" yWindow="450" windowWidth="21000" windowHeight="11985" xr2:uid="{00000000-000D-0000-FFFF-FFFF00000000}"/>
  </bookViews>
  <sheets>
    <sheet name="Registro de Treino" sheetId="1" r:id="rId1"/>
  </sheets>
  <definedNames>
    <definedName name="_xlnm.Print_Titles" localSheetId="0">'Registro de Treino'!$11:$11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B12" i="1"/>
  <c r="F13" i="1"/>
  <c r="F14" i="1"/>
  <c r="F15" i="1"/>
  <c r="B5" i="1"/>
  <c r="B9" i="1"/>
  <c r="B7" i="1"/>
  <c r="E5" i="1"/>
  <c r="E7" i="1"/>
</calcChain>
</file>

<file path=xl/sharedStrings.xml><?xml version="1.0" encoding="utf-8"?>
<sst xmlns="http://schemas.openxmlformats.org/spreadsheetml/2006/main" count="20" uniqueCount="20">
  <si>
    <t>Registro de Treino</t>
  </si>
  <si>
    <t>Estatísticas</t>
  </si>
  <si>
    <t>Duração Média (minutos)</t>
  </si>
  <si>
    <t>Distância Média (milhas/km)</t>
  </si>
  <si>
    <t>Ritmo Médio (por hora)</t>
  </si>
  <si>
    <t>Exercícios físicos</t>
  </si>
  <si>
    <t>DATA</t>
  </si>
  <si>
    <t>ATIVIDADE</t>
  </si>
  <si>
    <t>DURAÇÃO
(minutos)</t>
  </si>
  <si>
    <t>Calorias Médias</t>
  </si>
  <si>
    <t>Peso Médio</t>
  </si>
  <si>
    <t>DISTÂNCIA
(milhas/km)</t>
  </si>
  <si>
    <t>RITMO
(por hora)</t>
  </si>
  <si>
    <t>CALORIAS</t>
  </si>
  <si>
    <t>PESO</t>
  </si>
  <si>
    <t>ANOTAÇÕES</t>
  </si>
  <si>
    <t>[Anotações]</t>
  </si>
  <si>
    <t xml:space="preserve">Caminhada </t>
  </si>
  <si>
    <t xml:space="preserve">musculação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</si>
</sst>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theme="1" tint="0.14996795556505021"/>
      <name val="Arial"/>
      <family val="2"/>
      <scheme val="minor"/>
    </font>
    <font>
      <b/>
      <sz val="11"/>
      <color theme="3"/>
      <name val="Arial"/>
      <family val="2"/>
      <scheme val="major"/>
    </font>
    <font>
      <sz val="11"/>
      <color theme="0" tint="-0.499984740745262"/>
      <name val="Arial"/>
      <family val="2"/>
      <scheme val="major"/>
    </font>
    <font>
      <sz val="9"/>
      <color theme="1" tint="0.14996795556505021"/>
      <name val="Arial"/>
      <family val="2"/>
      <scheme val="minor"/>
    </font>
    <font>
      <sz val="24"/>
      <color theme="0"/>
      <name val="Arial"/>
      <family val="2"/>
      <scheme val="major"/>
    </font>
    <font>
      <sz val="18"/>
      <color theme="4"/>
      <name val="Arial"/>
      <family val="2"/>
      <scheme val="major"/>
    </font>
    <font>
      <sz val="16"/>
      <color theme="3"/>
      <name val="Arial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4" fillId="2" borderId="0" applyNumberFormat="0" applyBorder="0" applyAlignment="0" applyProtection="0"/>
    <xf numFmtId="0" fontId="5" fillId="0" borderId="0" applyNumberFormat="0" applyFill="0" applyBorder="0" applyProtection="0">
      <alignment horizontal="left"/>
    </xf>
    <xf numFmtId="0" fontId="6" fillId="0" borderId="0" applyNumberFormat="0" applyFill="0" applyBorder="0" applyProtection="0">
      <alignment horizontal="left" vertical="top"/>
    </xf>
    <xf numFmtId="0" fontId="2" fillId="0" borderId="0" applyNumberFormat="0" applyFill="0" applyBorder="0" applyProtection="0">
      <alignment horizontal="left"/>
    </xf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4" fillId="2" borderId="0" xfId="1"/>
    <xf numFmtId="0" fontId="0" fillId="3" borderId="0" xfId="0" applyFill="1"/>
    <xf numFmtId="0" fontId="5" fillId="0" borderId="0" xfId="2">
      <alignment horizontal="left"/>
    </xf>
    <xf numFmtId="0" fontId="2" fillId="0" borderId="0" xfId="4">
      <alignment horizontal="left"/>
    </xf>
    <xf numFmtId="0" fontId="5" fillId="3" borderId="0" xfId="2" applyFill="1">
      <alignment horizontal="left"/>
    </xf>
    <xf numFmtId="14" fontId="0" fillId="3" borderId="0" xfId="0" applyNumberFormat="1" applyFill="1" applyAlignment="1">
      <alignment horizontal="left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4" fillId="2" borderId="0" xfId="1" applyAlignment="1">
      <alignment horizontal="left" vertical="center"/>
    </xf>
    <xf numFmtId="1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left" wrapText="1"/>
    </xf>
    <xf numFmtId="0" fontId="3" fillId="3" borderId="0" xfId="0" applyFont="1" applyFill="1" applyAlignment="1">
      <alignment horizontal="center" vertical="center" wrapText="1"/>
    </xf>
    <xf numFmtId="3" fontId="0" fillId="3" borderId="0" xfId="0" applyNumberFormat="1" applyFill="1" applyAlignment="1">
      <alignment horizontal="center"/>
    </xf>
    <xf numFmtId="4" fontId="0" fillId="3" borderId="0" xfId="0" applyNumberFormat="1" applyFill="1" applyAlignment="1">
      <alignment horizontal="center"/>
    </xf>
    <xf numFmtId="4" fontId="6" fillId="0" borderId="0" xfId="3" applyNumberFormat="1">
      <alignment horizontal="left" vertical="top"/>
    </xf>
    <xf numFmtId="3" fontId="6" fillId="0" borderId="0" xfId="3" applyNumberFormat="1">
      <alignment horizontal="left" vertical="top"/>
    </xf>
    <xf numFmtId="16" fontId="0" fillId="3" borderId="0" xfId="0" applyNumberFormat="1" applyFill="1"/>
  </cellXfs>
  <cellStyles count="6">
    <cellStyle name="Normal" xfId="0" builtinId="0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</cellStyles>
  <dxfs count="20">
    <dxf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4" formatCode="#,##0.0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4" formatCode="#,##0.0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numFmt numFmtId="19" formatCode="dd/mm/yyyy"/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numFmt numFmtId="19" formatCode="dd/mm/yyyy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textRotation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 tint="0.14996795556505021"/>
        <name val="Arial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color theme="1" tint="0.14996795556505021"/>
      </font>
      <fill>
        <patternFill patternType="solid">
          <fgColor theme="4"/>
          <bgColor theme="2"/>
        </patternFill>
      </fill>
      <border>
        <top style="thin">
          <color theme="4"/>
        </top>
        <bottom style="thin">
          <color theme="4"/>
        </bottom>
      </border>
    </dxf>
    <dxf>
      <font>
        <b val="0"/>
        <i val="0"/>
        <color theme="1" tint="0.14996795556505021"/>
      </font>
      <fill>
        <patternFill>
          <bgColor theme="2"/>
        </patternFill>
      </fill>
    </dxf>
  </dxfs>
  <tableStyles count="1" defaultTableStyle="Tabela de registro de treinos" defaultPivotStyle="PivotStyleLight16">
    <tableStyle name="Tabela de registro de treinos" pivot="0" count="2" xr9:uid="{00000000-0011-0000-FFFF-FFFF00000000}">
      <tableStyleElement type="wholeTable" dxfId="19"/>
      <tableStyleElement type="headerRow" dxfId="1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dos" displayName="Dados" ref="B11:I15" headerRowDxfId="17" dataDxfId="16" totalsRowDxfId="15">
  <autoFilter ref="B11:I15" xr:uid="{00000000-0009-0000-0100-000001000000}"/>
  <tableColumns count="8">
    <tableColumn id="1" xr3:uid="{00000000-0010-0000-0000-000001000000}" name="DATA" totalsRowLabel="Total" dataDxfId="14" totalsRowDxfId="13"/>
    <tableColumn id="8" xr3:uid="{00000000-0010-0000-0000-000008000000}" name="ATIVIDADE" dataDxfId="12" totalsRowDxfId="11"/>
    <tableColumn id="2" xr3:uid="{00000000-0010-0000-0000-000002000000}" name="DURAÇÃO_x000a_(minutos)" dataDxfId="10"/>
    <tableColumn id="3" xr3:uid="{00000000-0010-0000-0000-000003000000}" name="DISTÂNCIA_x000a_(milhas/km)" dataDxfId="9" totalsRowDxfId="8"/>
    <tableColumn id="4" xr3:uid="{00000000-0010-0000-0000-000004000000}" name="RITMO_x000a_(por hora)" dataDxfId="7" totalsRowDxfId="6">
      <calculatedColumnFormula>IFERROR((60/Dados[[#This Row],[DURAÇÃO
(minutos)]])*Dados[[#This Row],[DISTÂNCIA
(milhas/km)]],"")</calculatedColumnFormula>
    </tableColumn>
    <tableColumn id="5" xr3:uid="{00000000-0010-0000-0000-000005000000}" name="CALORIAS" dataDxfId="5" totalsRowDxfId="4"/>
    <tableColumn id="6" xr3:uid="{00000000-0010-0000-0000-000006000000}" name="PESO" dataDxfId="3" totalsRowDxfId="2"/>
    <tableColumn id="7" xr3:uid="{00000000-0010-0000-0000-000007000000}" name="ANOTAÇÕES" totalsRowFunction="count" dataDxfId="1" totalsRowDxfId="0"/>
  </tableColumns>
  <tableStyleInfo name="Tabela de registro de treinos" showFirstColumn="0" showLastColumn="0" showRowStripes="1" showColumnStripes="0"/>
  <extLst>
    <ext xmlns:x14="http://schemas.microsoft.com/office/spreadsheetml/2009/9/main" uri="{504A1905-F514-4f6f-8877-14C23A59335A}">
      <x14:table altText="Tabela de registro de treinos" altTextSummary="Insira os detalhes do treino, incluindo datas e horários, distâncias, ritmo, calorias, seu peso e outras anotações."/>
    </ext>
  </extLst>
</table>
</file>

<file path=xl/theme/theme1.xml><?xml version="1.0" encoding="utf-8"?>
<a:theme xmlns:a="http://schemas.openxmlformats.org/drawingml/2006/main" name="Office Theme">
  <a:themeElements>
    <a:clrScheme name="Workout Log">
      <a:dk1>
        <a:sysClr val="windowText" lastClr="000000"/>
      </a:dk1>
      <a:lt1>
        <a:sysClr val="window" lastClr="FFFFFF"/>
      </a:lt1>
      <a:dk2>
        <a:srgbClr val="161417"/>
      </a:dk2>
      <a:lt2>
        <a:srgbClr val="F4F3EE"/>
      </a:lt2>
      <a:accent1>
        <a:srgbClr val="DF4C26"/>
      </a:accent1>
      <a:accent2>
        <a:srgbClr val="36A0CA"/>
      </a:accent2>
      <a:accent3>
        <a:srgbClr val="CAC02F"/>
      </a:accent3>
      <a:accent4>
        <a:srgbClr val="41B05B"/>
      </a:accent4>
      <a:accent5>
        <a:srgbClr val="805FA6"/>
      </a:accent5>
      <a:accent6>
        <a:srgbClr val="EF7E31"/>
      </a:accent6>
      <a:hlink>
        <a:srgbClr val="36A0CA"/>
      </a:hlink>
      <a:folHlink>
        <a:srgbClr val="805FA6"/>
      </a:folHlink>
    </a:clrScheme>
    <a:fontScheme name="Theme Fonts">
      <a:majorFont>
        <a:latin typeface="Arial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/>
    <pageSetUpPr fitToPage="1"/>
  </sheetPr>
  <dimension ref="B1:I16"/>
  <sheetViews>
    <sheetView showGridLines="0" tabSelected="1" zoomScale="125" zoomScaleNormal="125" workbookViewId="0">
      <selection activeCell="H13" sqref="H13"/>
    </sheetView>
  </sheetViews>
  <sheetFormatPr defaultColWidth="9.16796875" defaultRowHeight="12.75" x14ac:dyDescent="0.15"/>
  <cols>
    <col min="1" max="1" width="2.6953125" style="2" customWidth="1"/>
    <col min="2" max="2" width="13.75390625" style="2" customWidth="1"/>
    <col min="3" max="3" width="16.98828125" style="2" customWidth="1"/>
    <col min="4" max="4" width="15.640625" style="2" customWidth="1"/>
    <col min="5" max="5" width="16.31640625" style="2" customWidth="1"/>
    <col min="6" max="6" width="15.1015625" style="2" customWidth="1"/>
    <col min="7" max="7" width="16.31640625" style="2" customWidth="1"/>
    <col min="8" max="8" width="12.80859375" style="2" customWidth="1"/>
    <col min="9" max="9" width="21.57421875" style="2" customWidth="1"/>
    <col min="10" max="16384" width="9.16796875" style="2"/>
  </cols>
  <sheetData>
    <row r="1" spans="2:9" s="1" customFormat="1" ht="34.5" customHeight="1" x14ac:dyDescent="0.35">
      <c r="B1" s="9" t="s">
        <v>0</v>
      </c>
    </row>
    <row r="2" spans="2:9" ht="7.5" customHeight="1" x14ac:dyDescent="0.15"/>
    <row r="3" spans="2:9" customFormat="1" ht="30" customHeight="1" x14ac:dyDescent="0.25">
      <c r="B3" s="3" t="s">
        <v>1</v>
      </c>
    </row>
    <row r="4" spans="2:9" customFormat="1" ht="22.5" customHeight="1" x14ac:dyDescent="0.15">
      <c r="B4" s="4" t="s">
        <v>2</v>
      </c>
      <c r="E4" s="4" t="s">
        <v>9</v>
      </c>
    </row>
    <row r="5" spans="2:9" customFormat="1" ht="20.25" x14ac:dyDescent="0.15">
      <c r="B5" s="16">
        <f>IFERROR(AVERAGE(Dados[DURAÇÃO
(minutos)]),"[DURAÇÃO]")</f>
        <v>4.5</v>
      </c>
      <c r="E5" s="16">
        <f>IFERROR(AVERAGE(Dados[CALORIAS]),"[CALORIAS]")</f>
        <v>265</v>
      </c>
    </row>
    <row r="6" spans="2:9" customFormat="1" ht="22.5" customHeight="1" x14ac:dyDescent="0.15">
      <c r="B6" s="4" t="s">
        <v>3</v>
      </c>
      <c r="E6" s="4" t="s">
        <v>10</v>
      </c>
    </row>
    <row r="7" spans="2:9" customFormat="1" ht="20.25" x14ac:dyDescent="0.15">
      <c r="B7" s="15">
        <f>IFERROR(AVERAGE(Dados[DISTÂNCIA
(milhas/km)]),"[DISTÂNCIA]")</f>
        <v>0.38</v>
      </c>
      <c r="E7" s="16">
        <f>IFERROR(AVERAGE(Dados[PESO]),"[PESO]")</f>
        <v>86</v>
      </c>
    </row>
    <row r="8" spans="2:9" customFormat="1" ht="22.5" customHeight="1" x14ac:dyDescent="0.15">
      <c r="B8" s="4" t="s">
        <v>4</v>
      </c>
    </row>
    <row r="9" spans="2:9" customFormat="1" ht="27" customHeight="1" x14ac:dyDescent="0.15">
      <c r="B9" s="15">
        <f>IFERROR(AVERAGE(Dados[RITMO
(por hora)]),"[MÉDIA]")</f>
        <v>0.22361111111111112</v>
      </c>
    </row>
    <row r="10" spans="2:9" ht="33.75" customHeight="1" x14ac:dyDescent="0.25">
      <c r="B10" s="5" t="s">
        <v>5</v>
      </c>
    </row>
    <row r="11" spans="2:9" s="7" customFormat="1" ht="27" customHeight="1" x14ac:dyDescent="0.15">
      <c r="B11" s="8" t="s">
        <v>6</v>
      </c>
      <c r="C11" s="8" t="s">
        <v>7</v>
      </c>
      <c r="D11" s="12" t="s">
        <v>8</v>
      </c>
      <c r="E11" s="12" t="s">
        <v>11</v>
      </c>
      <c r="F11" s="12" t="s">
        <v>12</v>
      </c>
      <c r="G11" s="8" t="s">
        <v>13</v>
      </c>
      <c r="H11" s="8" t="s">
        <v>14</v>
      </c>
      <c r="I11" s="8" t="s">
        <v>15</v>
      </c>
    </row>
    <row r="12" spans="2:9" x14ac:dyDescent="0.15">
      <c r="B12" s="10">
        <f ca="1">TODAY()</f>
        <v>45950</v>
      </c>
      <c r="C12" s="6" t="s">
        <v>17</v>
      </c>
      <c r="D12" s="13">
        <v>8</v>
      </c>
      <c r="E12" s="14">
        <v>0.76</v>
      </c>
      <c r="F12" s="14">
        <v>0.44722222222222224</v>
      </c>
      <c r="G12" s="13">
        <v>380</v>
      </c>
      <c r="H12" s="13">
        <v>86</v>
      </c>
      <c r="I12" s="11" t="s">
        <v>16</v>
      </c>
    </row>
    <row r="13" spans="2:9" x14ac:dyDescent="0.15">
      <c r="B13" s="10">
        <f ca="1">TODAY()</f>
        <v>45950</v>
      </c>
      <c r="C13" s="6" t="s">
        <v>18</v>
      </c>
      <c r="D13" s="13">
        <v>1</v>
      </c>
      <c r="E13" s="14">
        <v>0</v>
      </c>
      <c r="F13" s="14">
        <f>IFERROR((60/Dados[[#This Row],[DURAÇÃO
(minutos)]])*Dados[[#This Row],[DISTÂNCIA
(milhas/km)]],"")</f>
        <v>0</v>
      </c>
      <c r="G13" s="13">
        <v>150</v>
      </c>
      <c r="H13" s="13">
        <v>86</v>
      </c>
      <c r="I13" s="11" t="s">
        <v>16</v>
      </c>
    </row>
    <row r="14" spans="2:9" x14ac:dyDescent="0.15">
      <c r="B14" s="10"/>
      <c r="C14" s="6"/>
      <c r="D14" s="13"/>
      <c r="E14" s="14"/>
      <c r="F14" s="14" t="str">
        <f>IFERROR((60/Dados[[#This Row],[DURAÇÃO
(minutos)]])*Dados[[#This Row],[DISTÂNCIA
(milhas/km)]],"")</f>
        <v/>
      </c>
      <c r="G14" s="13"/>
      <c r="H14" s="13"/>
      <c r="I14" s="11"/>
    </row>
    <row r="15" spans="2:9" x14ac:dyDescent="0.15">
      <c r="B15" s="10"/>
      <c r="C15" s="6"/>
      <c r="D15" s="13"/>
      <c r="E15" s="14"/>
      <c r="F15" s="14" t="str">
        <f>IFERROR((60/Dados[[#This Row],[DURAÇÃO
(minutos)]])*Dados[[#This Row],[DISTÂNCIA
(milhas/km)]],"")</f>
        <v/>
      </c>
      <c r="G15" s="13"/>
      <c r="H15" s="13"/>
      <c r="I15" s="11"/>
    </row>
    <row r="16" spans="2:9" x14ac:dyDescent="0.15">
      <c r="B16" s="17"/>
    </row>
  </sheetData>
  <printOptions horizontalCentered="1"/>
  <pageMargins left="0.7" right="0.7" top="0.75" bottom="0.75" header="0.3" footer="0.3"/>
  <pageSetup paperSize="9" scale="74" fitToHeight="0" orientation="portrait" r:id="rId1"/>
  <headerFooter differentFirst="1">
    <oddFooter>Page 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Registro de Treino</vt:lpstr>
      <vt:lpstr>Registro de Treino!Titulos_de_impressao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2014-11-28T22:25:28Z</dcterms:created>
  <dcterms:modified xsi:type="dcterms:W3CDTF">2015-01-13T13:18:30Z</dcterms:modified>
</cp:coreProperties>
</file>