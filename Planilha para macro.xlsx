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5a27e2a4a99d20/Documentos/"/>
    </mc:Choice>
  </mc:AlternateContent>
  <xr:revisionPtr revIDLastSave="446" documentId="8_{463EEFA1-D406-4204-B020-2409A2D789E8}" xr6:coauthVersionLast="47" xr6:coauthVersionMax="47" xr10:uidLastSave="{94FC1DAD-3040-4D4F-A14A-05BAC8EF3505}"/>
  <bookViews>
    <workbookView xWindow="-108" yWindow="-108" windowWidth="23256" windowHeight="12456" activeTab="1" xr2:uid="{32B658DB-DC08-4332-8C52-10D9C2497A0F}"/>
  </bookViews>
  <sheets>
    <sheet name="Médias Metemática" sheetId="1" r:id="rId1"/>
    <sheet name="Resumo Final" sheetId="2" r:id="rId2"/>
    <sheet name="Configurações" sheetId="3" r:id="rId3"/>
  </sheets>
  <definedNames>
    <definedName name="Alunos">'Médias Metemática'!$A$5:$A$17</definedName>
    <definedName name="aulas_ano">Configurações!$B$6</definedName>
    <definedName name="cond_faltas">'Médias Metemática'!$L$5:$L$17</definedName>
    <definedName name="cond_provas">'Médias Metemática'!$J$5:$J$17</definedName>
    <definedName name="cond_trabalho">'Médias Metemática'!$K$5:$K$17</definedName>
    <definedName name="exame">Configurações!$B$4</definedName>
    <definedName name="faltas">Configurações!$B$5</definedName>
    <definedName name="med_provas">'Médias Metemática'!$G$5:$G$17</definedName>
    <definedName name="med_trabalhos">'Médias Metemática'!$H$5:$H$17</definedName>
    <definedName name="provas">Configurações!$B$2</definedName>
    <definedName name="resultado">'Médias Metemática'!$M$5:$M$17</definedName>
    <definedName name="trabalhos">Configurações!$B$3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8" i="2"/>
  <c r="J7" i="1"/>
  <c r="B4" i="2"/>
  <c r="B3" i="2"/>
  <c r="K7" i="1"/>
  <c r="K8" i="1"/>
  <c r="K9" i="1"/>
  <c r="K10" i="1"/>
  <c r="K11" i="1"/>
  <c r="M11" i="1" s="1"/>
  <c r="K12" i="1"/>
  <c r="K13" i="1"/>
  <c r="K14" i="1"/>
  <c r="K15" i="1"/>
  <c r="K16" i="1"/>
  <c r="K17" i="1"/>
  <c r="K5" i="1"/>
  <c r="L7" i="1"/>
  <c r="L8" i="1"/>
  <c r="L9" i="1"/>
  <c r="L10" i="1"/>
  <c r="L11" i="1"/>
  <c r="L12" i="1"/>
  <c r="L13" i="1"/>
  <c r="L14" i="1"/>
  <c r="L15" i="1"/>
  <c r="L16" i="1"/>
  <c r="M16" i="1" s="1"/>
  <c r="L17" i="1"/>
  <c r="M6" i="1"/>
  <c r="M7" i="1"/>
  <c r="B7" i="2" s="1"/>
  <c r="M8" i="1"/>
  <c r="M9" i="1"/>
  <c r="M10" i="1"/>
  <c r="M12" i="1"/>
  <c r="M13" i="1"/>
  <c r="M14" i="1"/>
  <c r="M15" i="1"/>
  <c r="M5" i="1"/>
  <c r="J8" i="1"/>
  <c r="J9" i="1"/>
  <c r="J10" i="1"/>
  <c r="J11" i="1"/>
  <c r="J12" i="1"/>
  <c r="J13" i="1"/>
  <c r="J14" i="1"/>
  <c r="J15" i="1"/>
  <c r="J16" i="1"/>
  <c r="J17" i="1"/>
  <c r="L6" i="1"/>
  <c r="L5" i="1"/>
  <c r="K6" i="1"/>
  <c r="J6" i="1"/>
  <c r="J5" i="1"/>
  <c r="H6" i="1"/>
  <c r="H7" i="1"/>
  <c r="H8" i="1"/>
  <c r="H9" i="1"/>
  <c r="H10" i="1"/>
  <c r="H11" i="1"/>
  <c r="H12" i="1"/>
  <c r="H13" i="1"/>
  <c r="H14" i="1"/>
  <c r="H15" i="1"/>
  <c r="H16" i="1"/>
  <c r="H17" i="1"/>
  <c r="H5" i="1"/>
  <c r="G6" i="1"/>
  <c r="G7" i="1"/>
  <c r="G8" i="1"/>
  <c r="G9" i="1"/>
  <c r="G10" i="1"/>
  <c r="G11" i="1"/>
  <c r="G12" i="1"/>
  <c r="G13" i="1"/>
  <c r="G14" i="1"/>
  <c r="G15" i="1"/>
  <c r="G16" i="1"/>
  <c r="G17" i="1"/>
  <c r="G5" i="1"/>
  <c r="B5" i="2" l="1"/>
  <c r="B6" i="2"/>
  <c r="M17" i="1"/>
</calcChain>
</file>

<file path=xl/sharedStrings.xml><?xml version="1.0" encoding="utf-8"?>
<sst xmlns="http://schemas.openxmlformats.org/spreadsheetml/2006/main" count="46" uniqueCount="46">
  <si>
    <t>Curso de:MATEMÁTICA</t>
  </si>
  <si>
    <t>Matéria de: ESTATÍSTICAS</t>
  </si>
  <si>
    <t>Alunos</t>
  </si>
  <si>
    <t>Benedito de Souza Ramos</t>
  </si>
  <si>
    <t>Cristina Marcondes Dias</t>
  </si>
  <si>
    <t>Diana Bertoldo</t>
  </si>
  <si>
    <t>José Roberto</t>
  </si>
  <si>
    <t>Joseli Barbados</t>
  </si>
  <si>
    <t>Karen Farferelli</t>
  </si>
  <si>
    <t>Lucas Madeira Duarte</t>
  </si>
  <si>
    <t>Luci Faria de Gomes</t>
  </si>
  <si>
    <t>Lucimar Ferreira</t>
  </si>
  <si>
    <t>Magali Fernandes</t>
  </si>
  <si>
    <t>Mauricio de Arruda</t>
  </si>
  <si>
    <t>Sirlei Nogueira Santos</t>
  </si>
  <si>
    <t>Solange Maria Barbosa</t>
  </si>
  <si>
    <t>Prova 1</t>
  </si>
  <si>
    <t>Prova 2</t>
  </si>
  <si>
    <t>Prova 3</t>
  </si>
  <si>
    <t>Trabalho 2 (Peso 3)</t>
  </si>
  <si>
    <t>Trabalho 1 (Peso 2)</t>
  </si>
  <si>
    <t>Média das Provas</t>
  </si>
  <si>
    <t>Média Ponderada Trabalhos</t>
  </si>
  <si>
    <t>Faltas</t>
  </si>
  <si>
    <t>Condição dos Trabalhos</t>
  </si>
  <si>
    <t>Condição de Faltas</t>
  </si>
  <si>
    <t>Resultado Final</t>
  </si>
  <si>
    <t>Condição das Provas</t>
  </si>
  <si>
    <t>Resumo das Estatísticas dos Alunos</t>
  </si>
  <si>
    <t>Número de Alunos:</t>
  </si>
  <si>
    <t xml:space="preserve">Reprovados por Média dos Trabalhos: </t>
  </si>
  <si>
    <t xml:space="preserve">Reprovados por Faltas:  </t>
  </si>
  <si>
    <t xml:space="preserve">Reprovados por Média das Provas: </t>
  </si>
  <si>
    <t>Quantidade de Reprovados:</t>
  </si>
  <si>
    <t xml:space="preserve">Quantidade de Exame: </t>
  </si>
  <si>
    <t>Quantidade de Aprovados:</t>
  </si>
  <si>
    <t>Maior Média dos Trabalhos:</t>
  </si>
  <si>
    <t xml:space="preserve">Maior Média das Provas: </t>
  </si>
  <si>
    <t>Configurações para os Cálculos da Planilha de Médias Matemática</t>
  </si>
  <si>
    <t xml:space="preserve">Número de Aulas no Ano: </t>
  </si>
  <si>
    <t xml:space="preserve">Faltas no Curso:  </t>
  </si>
  <si>
    <t xml:space="preserve">Média para Exame:  </t>
  </si>
  <si>
    <t xml:space="preserve">Valor da Média Ponderada dos Trabalhos:  </t>
  </si>
  <si>
    <r>
      <rPr>
        <b/>
        <sz val="11"/>
        <color theme="1"/>
        <rFont val="Aptos Narrow"/>
        <family val="2"/>
        <scheme val="minor"/>
      </rPr>
      <t>Valor da Média Aritmética das Provas:</t>
    </r>
    <r>
      <rPr>
        <sz val="11"/>
        <color theme="1"/>
        <rFont val="Aptos Narrow"/>
        <family val="2"/>
        <scheme val="minor"/>
      </rPr>
      <t xml:space="preserve">  </t>
    </r>
  </si>
  <si>
    <t xml:space="preserve">Universidade SESI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</si>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</sst>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9F1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right"/>
    </xf>
    <xf numFmtId="0" fontId="0" fillId="2" borderId="0" xfId="0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/>
    </xf>
    <xf numFmtId="0" fontId="5" fillId="0" borderId="0" xfId="0" applyFont="1"/>
    <xf numFmtId="164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9" fontId="1" fillId="4" borderId="0" xfId="0" applyNumberFormat="1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3" xfId="0" applyBorder="1"/>
    <xf numFmtId="0" fontId="0" fillId="0" borderId="0" xfId="0" applyBorder="1"/>
    <xf numFmtId="0" fontId="6" fillId="0" borderId="3" xfId="0" applyFont="1" applyFill="1" applyBorder="1" applyAlignment="1">
      <alignment horizontal="center" vertical="center" wrapText="1"/>
    </xf>
    <xf numFmtId="0" fontId="0" fillId="4" borderId="2" xfId="0" applyNumberFormat="1" applyFill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rgb="FFFF9999"/>
        </patternFill>
      </fill>
    </dxf>
    <dxf>
      <fill>
        <patternFill>
          <bgColor rgb="FFFF7C80"/>
        </patternFill>
      </fill>
    </dxf>
    <dxf>
      <fill>
        <patternFill>
          <bgColor theme="9" tint="0.79998168889431442"/>
        </patternFill>
      </fill>
    </dxf>
    <dxf>
      <fill>
        <patternFill>
          <bgColor rgb="FFFFA7A7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FFCC"/>
      <color rgb="FFFF7C80"/>
      <color rgb="FFFF9999"/>
      <color rgb="FFFFA7A7"/>
      <color rgb="FFFF6565"/>
      <color rgb="FF960404"/>
      <color rgb="FFD9F1FF"/>
      <color rgb="FFCCEC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56F0-0F11-4528-9CDB-1E34CC9BD104}">
  <dimension ref="A1:N25"/>
  <sheetViews>
    <sheetView zoomScale="102" zoomScaleNormal="90" workbookViewId="0">
      <selection activeCell="H23" sqref="H23"/>
    </sheetView>
  </sheetViews>
  <sheetFormatPr defaultRowHeight="14.4" x14ac:dyDescent="0.3"/>
  <cols>
    <col min="1" max="1" width="22.44140625" style="1" customWidth="1"/>
    <col min="2" max="4" width="8.88671875" style="1"/>
    <col min="5" max="5" width="10.77734375" customWidth="1"/>
    <col min="6" max="6" width="11.109375" customWidth="1"/>
    <col min="7" max="7" width="12.109375" customWidth="1"/>
    <col min="8" max="8" width="17.88671875" customWidth="1"/>
    <col min="9" max="9" width="8.88671875" style="6"/>
    <col min="10" max="10" width="16.5546875" customWidth="1"/>
    <col min="11" max="11" width="16.109375" customWidth="1"/>
    <col min="12" max="12" width="12.88671875" customWidth="1"/>
    <col min="13" max="13" width="12.6640625" customWidth="1"/>
  </cols>
  <sheetData>
    <row r="1" spans="1:14" ht="21" customHeight="1" x14ac:dyDescent="0.4">
      <c r="A1" s="23" t="s">
        <v>44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2"/>
    </row>
    <row r="2" spans="1:14" x14ac:dyDescent="0.3">
      <c r="A2" s="26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3"/>
    </row>
    <row r="3" spans="1:14" ht="13.2" customHeight="1" x14ac:dyDescent="0.3">
      <c r="A3" s="29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1"/>
      <c r="N3" s="3"/>
    </row>
    <row r="4" spans="1:14" s="6" customFormat="1" ht="37.200000000000003" customHeight="1" x14ac:dyDescent="0.3">
      <c r="A4" s="11" t="s">
        <v>2</v>
      </c>
      <c r="B4" s="12" t="s">
        <v>16</v>
      </c>
      <c r="C4" s="12" t="s">
        <v>17</v>
      </c>
      <c r="D4" s="12" t="s">
        <v>18</v>
      </c>
      <c r="E4" s="13" t="s">
        <v>20</v>
      </c>
      <c r="F4" s="13" t="s">
        <v>19</v>
      </c>
      <c r="G4" s="13" t="s">
        <v>21</v>
      </c>
      <c r="H4" s="13" t="s">
        <v>22</v>
      </c>
      <c r="I4" s="12" t="s">
        <v>23</v>
      </c>
      <c r="J4" s="13" t="s">
        <v>27</v>
      </c>
      <c r="K4" s="13" t="s">
        <v>24</v>
      </c>
      <c r="L4" s="13" t="s">
        <v>25</v>
      </c>
      <c r="M4" s="13" t="s">
        <v>26</v>
      </c>
      <c r="N4" s="5"/>
    </row>
    <row r="5" spans="1:14" s="4" customFormat="1" x14ac:dyDescent="0.3">
      <c r="A5" s="14" t="s">
        <v>3</v>
      </c>
      <c r="B5" s="16">
        <v>5.5</v>
      </c>
      <c r="C5" s="16">
        <v>6.7</v>
      </c>
      <c r="D5" s="16">
        <v>6</v>
      </c>
      <c r="E5" s="16">
        <v>7</v>
      </c>
      <c r="F5" s="16">
        <v>8</v>
      </c>
      <c r="G5" s="16">
        <f>AVERAGE(B5:D5)</f>
        <v>6.0666666666666664</v>
      </c>
      <c r="H5" s="16">
        <f>(SUM(PRODUCT(E5,2),PRODUCT(F5,3))/5)</f>
        <v>7.6</v>
      </c>
      <c r="I5" s="17">
        <v>2</v>
      </c>
      <c r="J5" s="22" t="str">
        <f>IF(G5&gt;=provas,"Aprovado","Média Insuficiente")</f>
        <v>Média Insuficiente</v>
      </c>
      <c r="K5" s="22" t="str">
        <f>IF(H5&gt;=trabalhos,"Aprovado","Média Insuficiente")</f>
        <v>Aprovado</v>
      </c>
      <c r="L5" s="18" t="str">
        <f>IF((I5/aulas_ano)&lt;=faltas,"Aprovado","Reprovado")</f>
        <v>Aprovado</v>
      </c>
      <c r="M5" s="22" t="str">
        <f>IF(L5&lt;&gt;"Aprovado","Reprovado",IF(AND(J5="Aprovado",K5="Aprovado",L5="Aprovado"),"Aprovado", IF(OR(G5&gt;=exame,H5&gt;=exame),"Exame","Reprovado")))</f>
        <v>Exame</v>
      </c>
    </row>
    <row r="6" spans="1:14" x14ac:dyDescent="0.3">
      <c r="A6" s="14" t="s">
        <v>4</v>
      </c>
      <c r="B6" s="16">
        <v>9.8000000000000007</v>
      </c>
      <c r="C6" s="16">
        <v>8</v>
      </c>
      <c r="D6" s="16">
        <v>9</v>
      </c>
      <c r="E6" s="16">
        <v>8.5</v>
      </c>
      <c r="F6" s="16">
        <v>7.5</v>
      </c>
      <c r="G6" s="16">
        <f t="shared" ref="G6:G17" si="0">AVERAGE(B6:D6)</f>
        <v>8.9333333333333336</v>
      </c>
      <c r="H6" s="16">
        <f t="shared" ref="H6:H17" si="1">(SUM(PRODUCT(E6,2),PRODUCT(F6,3))/5)</f>
        <v>7.9</v>
      </c>
      <c r="I6" s="17">
        <v>1</v>
      </c>
      <c r="J6" s="22" t="str">
        <f>IF(G6&gt;=provas,"Aprovado","Média Insuficiente")</f>
        <v>Aprovado</v>
      </c>
      <c r="K6" s="22" t="str">
        <f>IF(H6&gt;=trabalhos,"Aprovado","Média Insuficiente")</f>
        <v>Aprovado</v>
      </c>
      <c r="L6" s="18" t="str">
        <f>IF((I6/aulas_ano)&lt;=faltas,"Aprovado","Reprovado")</f>
        <v>Aprovado</v>
      </c>
      <c r="M6" s="22" t="str">
        <f>IF(L6&lt;&gt;"Aprovado","Reprovado",IF(AND(J6="Aprovado",K6="Aprovado",L6="Aprovado"),"Aprovado", IF(OR(G6&gt;=exame,H6&gt;=exame),"Exame","Reprovado")))</f>
        <v>Aprovado</v>
      </c>
    </row>
    <row r="7" spans="1:14" x14ac:dyDescent="0.3">
      <c r="A7" s="14" t="s">
        <v>5</v>
      </c>
      <c r="B7" s="16">
        <v>0</v>
      </c>
      <c r="C7" s="16">
        <v>6</v>
      </c>
      <c r="D7" s="16">
        <v>0</v>
      </c>
      <c r="E7" s="16">
        <v>7</v>
      </c>
      <c r="F7" s="16">
        <v>0</v>
      </c>
      <c r="G7" s="16">
        <f t="shared" si="0"/>
        <v>2</v>
      </c>
      <c r="H7" s="16">
        <f t="shared" si="1"/>
        <v>2.8</v>
      </c>
      <c r="I7" s="17">
        <v>10</v>
      </c>
      <c r="J7" s="22" t="str">
        <f>IF(G7&gt;=provas,"Aprovado","Média Insuficiente")</f>
        <v>Média Insuficiente</v>
      </c>
      <c r="K7" s="22" t="str">
        <f>IF(H7&gt;=trabalhos,"Aprovado","Média Insuficiente")</f>
        <v>Média Insuficiente</v>
      </c>
      <c r="L7" s="18" t="str">
        <f>IF((I7/aulas_ano)&lt;=faltas,"Aprovado","Reprovado")</f>
        <v>Reprovado</v>
      </c>
      <c r="M7" s="22" t="str">
        <f>IF(L7&lt;&gt;"Aprovado","Reprovado",IF(AND(J7="Aprovado",K7="Aprovado",L7="Aprovado"),"Aprovado", IF(OR(G7&gt;=exame,H7&gt;=exame),"Exame","Reprovado")))</f>
        <v>Reprovado</v>
      </c>
    </row>
    <row r="8" spans="1:14" x14ac:dyDescent="0.3">
      <c r="A8" s="14" t="s">
        <v>6</v>
      </c>
      <c r="B8" s="16">
        <v>2</v>
      </c>
      <c r="C8" s="16">
        <v>8</v>
      </c>
      <c r="D8" s="16">
        <v>7.5</v>
      </c>
      <c r="E8" s="16">
        <v>9</v>
      </c>
      <c r="F8" s="16">
        <v>10</v>
      </c>
      <c r="G8" s="16">
        <f t="shared" si="0"/>
        <v>5.833333333333333</v>
      </c>
      <c r="H8" s="16">
        <f t="shared" si="1"/>
        <v>9.6</v>
      </c>
      <c r="I8" s="17">
        <v>5</v>
      </c>
      <c r="J8" s="22" t="str">
        <f>IF(G8&gt;=provas,"Aprovado","Média Insuficiente")</f>
        <v>Média Insuficiente</v>
      </c>
      <c r="K8" s="22" t="str">
        <f>IF(H8&gt;=trabalhos,"Aprovado","Média Insuficiente")</f>
        <v>Aprovado</v>
      </c>
      <c r="L8" s="18" t="str">
        <f>IF((I8/aulas_ano)&lt;=faltas,"Aprovado","Reprovado")</f>
        <v>Aprovado</v>
      </c>
      <c r="M8" s="22" t="str">
        <f>IF(L8&lt;&gt;"Aprovado","Reprovado",IF(AND(J8="Aprovado",K8="Aprovado",L8="Aprovado"),"Aprovado", IF(OR(G8&gt;=exame,H8&gt;=exame),"Exame","Reprovado")))</f>
        <v>Exame</v>
      </c>
    </row>
    <row r="9" spans="1:14" x14ac:dyDescent="0.3">
      <c r="A9" s="14" t="s">
        <v>7</v>
      </c>
      <c r="B9" s="16">
        <v>4.5</v>
      </c>
      <c r="C9" s="16">
        <v>7</v>
      </c>
      <c r="D9" s="16">
        <v>8</v>
      </c>
      <c r="E9" s="16">
        <v>5</v>
      </c>
      <c r="F9" s="16">
        <v>5</v>
      </c>
      <c r="G9" s="16">
        <f t="shared" si="0"/>
        <v>6.5</v>
      </c>
      <c r="H9" s="16">
        <f t="shared" si="1"/>
        <v>5</v>
      </c>
      <c r="I9" s="17">
        <v>0</v>
      </c>
      <c r="J9" s="22" t="str">
        <f>IF(G9&gt;=provas,"Aprovado","Média Insuficiente")</f>
        <v>Média Insuficiente</v>
      </c>
      <c r="K9" s="22" t="str">
        <f>IF(H9&gt;=trabalhos,"Aprovado","Média Insuficiente")</f>
        <v>Média Insuficiente</v>
      </c>
      <c r="L9" s="18" t="str">
        <f>IF((I9/aulas_ano)&lt;=faltas,"Aprovado","Reprovado")</f>
        <v>Aprovado</v>
      </c>
      <c r="M9" s="22" t="str">
        <f>IF(L9&lt;&gt;"Aprovado","Reprovado",IF(AND(J9="Aprovado",K9="Aprovado",L9="Aprovado"),"Aprovado", IF(OR(G9&gt;=exame,H9&gt;=exame),"Exame","Reprovado")))</f>
        <v>Exame</v>
      </c>
    </row>
    <row r="10" spans="1:14" x14ac:dyDescent="0.3">
      <c r="A10" s="14" t="s">
        <v>8</v>
      </c>
      <c r="B10" s="16">
        <v>6</v>
      </c>
      <c r="C10" s="16">
        <v>7</v>
      </c>
      <c r="D10" s="16">
        <v>9</v>
      </c>
      <c r="E10" s="16">
        <v>10</v>
      </c>
      <c r="F10" s="16">
        <v>8</v>
      </c>
      <c r="G10" s="16">
        <f t="shared" si="0"/>
        <v>7.333333333333333</v>
      </c>
      <c r="H10" s="16">
        <f t="shared" si="1"/>
        <v>8.8000000000000007</v>
      </c>
      <c r="I10" s="17">
        <v>0</v>
      </c>
      <c r="J10" s="22" t="str">
        <f>IF(G10&gt;=provas,"Aprovado","Média Insuficiente")</f>
        <v>Aprovado</v>
      </c>
      <c r="K10" s="22" t="str">
        <f>IF(H10&gt;=trabalhos,"Aprovado","Média Insuficiente")</f>
        <v>Aprovado</v>
      </c>
      <c r="L10" s="18" t="str">
        <f>IF((I10/aulas_ano)&lt;=faltas,"Aprovado","Reprovado")</f>
        <v>Aprovado</v>
      </c>
      <c r="M10" s="22" t="str">
        <f>IF(L10&lt;&gt;"Aprovado","Reprovado",IF(AND(J10="Aprovado",K10="Aprovado",L10="Aprovado"),"Aprovado", IF(OR(G10&gt;=exame,H10&gt;=exame),"Exame","Reprovado")))</f>
        <v>Aprovado</v>
      </c>
    </row>
    <row r="11" spans="1:14" x14ac:dyDescent="0.3">
      <c r="A11" s="14" t="s">
        <v>9</v>
      </c>
      <c r="B11" s="16">
        <v>8</v>
      </c>
      <c r="C11" s="16">
        <v>5</v>
      </c>
      <c r="D11" s="16">
        <v>6.7</v>
      </c>
      <c r="E11" s="16">
        <v>8</v>
      </c>
      <c r="F11" s="16">
        <v>7.5</v>
      </c>
      <c r="G11" s="16">
        <f t="shared" si="0"/>
        <v>6.5666666666666664</v>
      </c>
      <c r="H11" s="16">
        <f t="shared" si="1"/>
        <v>7.7</v>
      </c>
      <c r="I11" s="17">
        <v>9</v>
      </c>
      <c r="J11" s="22" t="str">
        <f>IF(G11&gt;=provas,"Aprovado","Média Insuficiente")</f>
        <v>Média Insuficiente</v>
      </c>
      <c r="K11" s="22" t="str">
        <f>IF(H11&gt;=trabalhos,"Aprovado","Média Insuficiente")</f>
        <v>Aprovado</v>
      </c>
      <c r="L11" s="18" t="str">
        <f>IF((I11/aulas_ano)&lt;=faltas,"Aprovado","Reprovado")</f>
        <v>Aprovado</v>
      </c>
      <c r="M11" s="22" t="str">
        <f>IF(L11&lt;&gt;"Aprovado","Reprovado",IF(AND(J11="Aprovado",K11="Aprovado",L11="Aprovado"),"Aprovado", IF(OR(G11&gt;=exame,H11&gt;=exame),"Exame","Reprovado")))</f>
        <v>Exame</v>
      </c>
    </row>
    <row r="12" spans="1:14" x14ac:dyDescent="0.3">
      <c r="A12" s="14" t="s">
        <v>10</v>
      </c>
      <c r="B12" s="16">
        <v>7.8</v>
      </c>
      <c r="C12" s="16">
        <v>8</v>
      </c>
      <c r="D12" s="16">
        <v>9.5</v>
      </c>
      <c r="E12" s="16">
        <v>9</v>
      </c>
      <c r="F12" s="16">
        <v>9</v>
      </c>
      <c r="G12" s="16">
        <f t="shared" si="0"/>
        <v>8.4333333333333336</v>
      </c>
      <c r="H12" s="16">
        <f t="shared" si="1"/>
        <v>9</v>
      </c>
      <c r="I12" s="17">
        <v>0</v>
      </c>
      <c r="J12" s="22" t="str">
        <f>IF(G12&gt;=provas,"Aprovado","Média Insuficiente")</f>
        <v>Aprovado</v>
      </c>
      <c r="K12" s="22" t="str">
        <f>IF(H12&gt;=trabalhos,"Aprovado","Média Insuficiente")</f>
        <v>Aprovado</v>
      </c>
      <c r="L12" s="18" t="str">
        <f>IF((I12/aulas_ano)&lt;=faltas,"Aprovado","Reprovado")</f>
        <v>Aprovado</v>
      </c>
      <c r="M12" s="22" t="str">
        <f>IF(L12&lt;&gt;"Aprovado","Reprovado",IF(AND(J12="Aprovado",K12="Aprovado",L12="Aprovado"),"Aprovado", IF(OR(G12&gt;=exame,H12&gt;=exame),"Exame","Reprovado")))</f>
        <v>Aprovado</v>
      </c>
    </row>
    <row r="13" spans="1:14" x14ac:dyDescent="0.3">
      <c r="A13" s="14" t="s">
        <v>11</v>
      </c>
      <c r="B13" s="16">
        <v>5</v>
      </c>
      <c r="C13" s="16">
        <v>4</v>
      </c>
      <c r="D13" s="16">
        <v>3.5</v>
      </c>
      <c r="E13" s="16">
        <v>10</v>
      </c>
      <c r="F13" s="16">
        <v>10</v>
      </c>
      <c r="G13" s="16">
        <f t="shared" si="0"/>
        <v>4.166666666666667</v>
      </c>
      <c r="H13" s="16">
        <f t="shared" si="1"/>
        <v>10</v>
      </c>
      <c r="I13" s="17">
        <v>6</v>
      </c>
      <c r="J13" s="22" t="str">
        <f>IF(G13&gt;=provas,"Aprovado","Média Insuficiente")</f>
        <v>Média Insuficiente</v>
      </c>
      <c r="K13" s="22" t="str">
        <f>IF(H13&gt;=trabalhos,"Aprovado","Média Insuficiente")</f>
        <v>Aprovado</v>
      </c>
      <c r="L13" s="18" t="str">
        <f>IF((I13/aulas_ano)&lt;=faltas,"Aprovado","Reprovado")</f>
        <v>Aprovado</v>
      </c>
      <c r="M13" s="22" t="str">
        <f>IF(L13&lt;&gt;"Aprovado","Reprovado",IF(AND(J13="Aprovado",K13="Aprovado",L13="Aprovado"),"Aprovado", IF(OR(G13&gt;=exame,H13&gt;=exame),"Exame","Reprovado")))</f>
        <v>Exame</v>
      </c>
    </row>
    <row r="14" spans="1:14" x14ac:dyDescent="0.3">
      <c r="A14" s="14" t="s">
        <v>12</v>
      </c>
      <c r="B14" s="16">
        <v>8</v>
      </c>
      <c r="C14" s="16">
        <v>9</v>
      </c>
      <c r="D14" s="16">
        <v>10</v>
      </c>
      <c r="E14" s="16">
        <v>0</v>
      </c>
      <c r="F14" s="16">
        <v>0</v>
      </c>
      <c r="G14" s="16">
        <f t="shared" si="0"/>
        <v>9</v>
      </c>
      <c r="H14" s="16">
        <f t="shared" si="1"/>
        <v>0</v>
      </c>
      <c r="I14" s="17">
        <v>0</v>
      </c>
      <c r="J14" s="22" t="str">
        <f>IF(G14&gt;=provas,"Aprovado","Média Insuficiente")</f>
        <v>Aprovado</v>
      </c>
      <c r="K14" s="22" t="str">
        <f>IF(H14&gt;=trabalhos,"Aprovado","Média Insuficiente")</f>
        <v>Média Insuficiente</v>
      </c>
      <c r="L14" s="18" t="str">
        <f>IF((I14/aulas_ano)&lt;=faltas,"Aprovado","Reprovado")</f>
        <v>Aprovado</v>
      </c>
      <c r="M14" s="22" t="str">
        <f>IF(L14&lt;&gt;"Aprovado","Reprovado",IF(AND(J14="Aprovado",K14="Aprovado",L14="Aprovado"),"Aprovado", IF(OR(G14&gt;=exame,H14&gt;=exame),"Exame","Reprovado")))</f>
        <v>Exame</v>
      </c>
    </row>
    <row r="15" spans="1:14" x14ac:dyDescent="0.3">
      <c r="A15" s="14" t="s">
        <v>13</v>
      </c>
      <c r="B15" s="16">
        <v>6.9</v>
      </c>
      <c r="C15" s="16">
        <v>7.9</v>
      </c>
      <c r="D15" s="16">
        <v>8</v>
      </c>
      <c r="E15" s="16">
        <v>5.5</v>
      </c>
      <c r="F15" s="16">
        <v>6</v>
      </c>
      <c r="G15" s="16">
        <f t="shared" si="0"/>
        <v>7.6000000000000005</v>
      </c>
      <c r="H15" s="16">
        <f t="shared" si="1"/>
        <v>5.8</v>
      </c>
      <c r="I15" s="17">
        <v>7</v>
      </c>
      <c r="J15" s="22" t="str">
        <f>IF(G15&gt;=provas,"Aprovado","Média Insuficiente")</f>
        <v>Aprovado</v>
      </c>
      <c r="K15" s="22" t="str">
        <f>IF(H15&gt;=trabalhos,"Aprovado","Média Insuficiente")</f>
        <v>Média Insuficiente</v>
      </c>
      <c r="L15" s="18" t="str">
        <f>IF((I15/aulas_ano)&lt;=faltas,"Aprovado","Reprovado")</f>
        <v>Aprovado</v>
      </c>
      <c r="M15" s="22" t="str">
        <f>IF(L15&lt;&gt;"Aprovado","Reprovado",IF(AND(J15="Aprovado",K15="Aprovado",L15="Aprovado"),"Aprovado", IF(OR(G15&gt;=exame,H15&gt;=exame),"Exame","Reprovado")))</f>
        <v>Exame</v>
      </c>
    </row>
    <row r="16" spans="1:14" x14ac:dyDescent="0.3">
      <c r="A16" s="14" t="s">
        <v>14</v>
      </c>
      <c r="B16" s="16">
        <v>10</v>
      </c>
      <c r="C16" s="16">
        <v>9</v>
      </c>
      <c r="D16" s="16">
        <v>8</v>
      </c>
      <c r="E16" s="16">
        <v>8</v>
      </c>
      <c r="F16" s="16">
        <v>9</v>
      </c>
      <c r="G16" s="16">
        <f t="shared" si="0"/>
        <v>9</v>
      </c>
      <c r="H16" s="16">
        <f t="shared" si="1"/>
        <v>8.6</v>
      </c>
      <c r="I16" s="17">
        <v>11</v>
      </c>
      <c r="J16" s="22" t="str">
        <f>IF(G16&gt;=provas,"Aprovado","Média Insuficiente")</f>
        <v>Aprovado</v>
      </c>
      <c r="K16" s="22" t="str">
        <f>IF(H16&gt;=trabalhos,"Aprovado","Média Insuficiente")</f>
        <v>Aprovado</v>
      </c>
      <c r="L16" s="18" t="str">
        <f>IF((I16/aulas_ano)&lt;=faltas,"Aprovado","Reprovado")</f>
        <v>Reprovado</v>
      </c>
      <c r="M16" s="22" t="str">
        <f>IF(L16&lt;&gt;"Aprovado","Reprovado",IF(AND(J16="Aprovado",K16="Aprovado",L16="Aprovado"),"Aprovado", IF(OR(G16&gt;=exame,H16&gt;=exame),"Exame","Reprovado")))</f>
        <v>Reprovado</v>
      </c>
    </row>
    <row r="17" spans="1:13" x14ac:dyDescent="0.3">
      <c r="A17" s="14" t="s">
        <v>15</v>
      </c>
      <c r="B17" s="16">
        <v>4.5</v>
      </c>
      <c r="C17" s="16">
        <v>6</v>
      </c>
      <c r="D17" s="16">
        <v>0</v>
      </c>
      <c r="E17" s="16">
        <v>7</v>
      </c>
      <c r="F17" s="16">
        <v>0</v>
      </c>
      <c r="G17" s="16">
        <f t="shared" si="0"/>
        <v>3.5</v>
      </c>
      <c r="H17" s="16">
        <f t="shared" si="1"/>
        <v>2.8</v>
      </c>
      <c r="I17" s="17">
        <v>5</v>
      </c>
      <c r="J17" s="22" t="str">
        <f>IF(G17&gt;=provas,"Aprovado","Média Insuficiente")</f>
        <v>Média Insuficiente</v>
      </c>
      <c r="K17" s="22" t="str">
        <f>IF(H17&gt;=trabalhos,"Aprovado","Média Insuficiente")</f>
        <v>Média Insuficiente</v>
      </c>
      <c r="L17" s="18" t="str">
        <f>IF((I17/aulas_ano)&lt;=faltas,"Aprovado","Reprovado")</f>
        <v>Aprovado</v>
      </c>
      <c r="M17" s="22" t="str">
        <f>IF(L17&lt;&gt;"Aprovado","Reprovado",IF(AND(J17="Aprovado",K17="Aprovado",L17="Aprovado"),"Aprovado", IF(OR(G17&gt;=exame,H17&gt;=exame),"Exame","Reprovado")))</f>
        <v>Reprovado</v>
      </c>
    </row>
    <row r="18" spans="1:13" x14ac:dyDescent="0.3">
      <c r="L18" s="37"/>
      <c r="M18" s="35"/>
    </row>
    <row r="19" spans="1:13" x14ac:dyDescent="0.3">
      <c r="L19" s="36"/>
    </row>
    <row r="25" spans="1:13" x14ac:dyDescent="0.3">
      <c r="H25" s="15"/>
    </row>
  </sheetData>
  <mergeCells count="3">
    <mergeCell ref="A1:M1"/>
    <mergeCell ref="A2:M2"/>
    <mergeCell ref="A3:M3"/>
  </mergeCells>
  <phoneticPr fontId="4" type="noConversion"/>
  <conditionalFormatting sqref="M7:M17 L7:L18 J5:M6 J7:K17">
    <cfRule type="cellIs" dxfId="4" priority="5" operator="equal">
      <formula>"Reprovado"</formula>
    </cfRule>
    <cfRule type="cellIs" dxfId="3" priority="6" operator="equal">
      <formula>"Aprovado"</formula>
    </cfRule>
  </conditionalFormatting>
  <conditionalFormatting sqref="J5:J17 K5 K7 K9:K17">
    <cfRule type="cellIs" dxfId="2" priority="4" operator="equal">
      <formula>"Média Insuficiente"</formula>
    </cfRule>
    <cfRule type="cellIs" dxfId="1" priority="3" operator="equal">
      <formula>"Média Insuficiente"</formula>
    </cfRule>
  </conditionalFormatting>
  <conditionalFormatting sqref="K7">
    <cfRule type="cellIs" dxfId="5" priority="2" operator="equal">
      <formula>"Média Insuficente"</formula>
    </cfRule>
  </conditionalFormatting>
  <conditionalFormatting sqref="M5:M17">
    <cfRule type="cellIs" dxfId="0" priority="1" operator="equal">
      <formula>"Exame"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DB97-52C4-47E3-AEF6-C674091F8FDC}">
  <dimension ref="A1:B11"/>
  <sheetViews>
    <sheetView tabSelected="1" workbookViewId="0">
      <selection activeCell="B8" sqref="B8"/>
    </sheetView>
  </sheetViews>
  <sheetFormatPr defaultRowHeight="14.4" x14ac:dyDescent="0.3"/>
  <cols>
    <col min="1" max="1" width="57.77734375" customWidth="1"/>
    <col min="2" max="2" width="12.44140625" style="1" customWidth="1"/>
  </cols>
  <sheetData>
    <row r="1" spans="1:2" x14ac:dyDescent="0.3">
      <c r="A1" s="32" t="s">
        <v>28</v>
      </c>
      <c r="B1" s="32"/>
    </row>
    <row r="2" spans="1:2" x14ac:dyDescent="0.3">
      <c r="A2" s="7" t="s">
        <v>29</v>
      </c>
      <c r="B2" s="19">
        <v>13</v>
      </c>
    </row>
    <row r="3" spans="1:2" x14ac:dyDescent="0.3">
      <c r="A3" s="7" t="s">
        <v>37</v>
      </c>
      <c r="B3" s="19">
        <f>MAX(med_provas)</f>
        <v>9</v>
      </c>
    </row>
    <row r="4" spans="1:2" x14ac:dyDescent="0.3">
      <c r="A4" s="7" t="s">
        <v>36</v>
      </c>
      <c r="B4" s="38">
        <f>MAX(med_trabalhos)</f>
        <v>10</v>
      </c>
    </row>
    <row r="5" spans="1:2" x14ac:dyDescent="0.3">
      <c r="A5" s="7" t="s">
        <v>35</v>
      </c>
      <c r="B5" s="19">
        <f>COUNTIF(resultado,"Aprovado")</f>
        <v>3</v>
      </c>
    </row>
    <row r="6" spans="1:2" x14ac:dyDescent="0.3">
      <c r="A6" s="7" t="s">
        <v>34</v>
      </c>
      <c r="B6" s="19">
        <f>COUNTIF(resultado,"Exame")</f>
        <v>7</v>
      </c>
    </row>
    <row r="7" spans="1:2" x14ac:dyDescent="0.3">
      <c r="A7" s="7" t="s">
        <v>33</v>
      </c>
      <c r="B7" s="19">
        <f>COUNTIF(resultado,"Reprovado")</f>
        <v>3</v>
      </c>
    </row>
    <row r="8" spans="1:2" x14ac:dyDescent="0.3">
      <c r="A8" s="7" t="s">
        <v>32</v>
      </c>
      <c r="B8" s="19">
        <f>COUNTIF(cond_provas,"Média Insuficiente")</f>
        <v>7</v>
      </c>
    </row>
    <row r="9" spans="1:2" x14ac:dyDescent="0.3">
      <c r="A9" s="7" t="s">
        <v>30</v>
      </c>
      <c r="B9" s="19">
        <f>COUNTIF(cond_trabalho,"Média Insuficiente")</f>
        <v>5</v>
      </c>
    </row>
    <row r="10" spans="1:2" x14ac:dyDescent="0.3">
      <c r="A10" s="7" t="s">
        <v>31</v>
      </c>
      <c r="B10" s="19">
        <f>COUNTIF(cond_faltas,"Reprovado")</f>
        <v>2</v>
      </c>
    </row>
    <row r="11" spans="1:2" x14ac:dyDescent="0.3">
      <c r="B11" s="1" t="s">
        <v>45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2AE0-BA58-46AD-A4B3-3952052DF4DF}">
  <dimension ref="A1:B9"/>
  <sheetViews>
    <sheetView workbookViewId="0">
      <selection activeCell="A10" sqref="A10"/>
    </sheetView>
  </sheetViews>
  <sheetFormatPr defaultRowHeight="14.4" x14ac:dyDescent="0.3"/>
  <cols>
    <col min="1" max="1" width="58.33203125" customWidth="1"/>
    <col min="2" max="2" width="12.109375" customWidth="1"/>
  </cols>
  <sheetData>
    <row r="1" spans="1:2" x14ac:dyDescent="0.3">
      <c r="A1" s="33" t="s">
        <v>38</v>
      </c>
      <c r="B1" s="34"/>
    </row>
    <row r="2" spans="1:2" x14ac:dyDescent="0.3">
      <c r="A2" s="8" t="s">
        <v>43</v>
      </c>
      <c r="B2" s="20">
        <v>7</v>
      </c>
    </row>
    <row r="3" spans="1:2" x14ac:dyDescent="0.3">
      <c r="A3" s="9" t="s">
        <v>42</v>
      </c>
      <c r="B3" s="20">
        <v>6</v>
      </c>
    </row>
    <row r="4" spans="1:2" x14ac:dyDescent="0.3">
      <c r="A4" s="9" t="s">
        <v>41</v>
      </c>
      <c r="B4" s="20">
        <v>5</v>
      </c>
    </row>
    <row r="5" spans="1:2" x14ac:dyDescent="0.3">
      <c r="A5" s="9" t="s">
        <v>40</v>
      </c>
      <c r="B5" s="21">
        <v>0.25</v>
      </c>
    </row>
    <row r="6" spans="1:2" x14ac:dyDescent="0.3">
      <c r="A6" s="9" t="s">
        <v>39</v>
      </c>
      <c r="B6" s="20">
        <v>36</v>
      </c>
    </row>
    <row r="9" spans="1:2" x14ac:dyDescent="0.3">
      <c r="A9" s="10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12</vt:i4>
      </vt:variant>
    </vt:vector>
  </HeadingPairs>
  <TitlesOfParts>
    <vt:vector size="15" baseType="lpstr">
      <vt:lpstr>Médias Metemática</vt:lpstr>
      <vt:lpstr>Resumo Final</vt:lpstr>
      <vt:lpstr>Configurações</vt:lpstr>
      <vt:lpstr>Alunos</vt:lpstr>
      <vt:lpstr>aulas_ano</vt:lpstr>
      <vt:lpstr>cond_faltas</vt:lpstr>
      <vt:lpstr>cond_provas</vt:lpstr>
      <vt:lpstr>cond_trabalho</vt:lpstr>
      <vt:lpstr>exame</vt:lpstr>
      <vt:lpstr>faltas</vt:lpstr>
      <vt:lpstr>med_provas</vt:lpstr>
      <vt:lpstr>med_trabalhos</vt:lpstr>
      <vt:lpstr>provas</vt:lpstr>
      <vt:lpstr>resultado</vt:lpstr>
      <vt:lpstr>trabalhos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TEIXEIRA PIFFER</dc:creator>
  <cp:lastModifiedBy>gtpiffer@gmail.com</cp:lastModifiedBy>
  <dcterms:created xsi:type="dcterms:W3CDTF">2025-05-30T13:01:05Z</dcterms:created>
  <dcterms:modified xsi:type="dcterms:W3CDTF">2025-06-03T19:06:38Z</dcterms:modified>
</cp:coreProperties>
</file>